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15" yWindow="2550" windowWidth="14805" windowHeight="8010" activeTab="1"/>
  </bookViews>
  <sheets>
    <sheet name="Sheet1" sheetId="1" r:id="rId1"/>
    <sheet name="Sheet2" sheetId="2" r:id="rId2"/>
    <sheet name="Sheet3" sheetId="3" r:id="rId3"/>
  </sheets>
  <functionGroups/>
  <calcPr calcId="125725"/>
  <fileRecoveryPr repairLoad="1"/>
</workbook>
</file>

<file path=xl/calcChain.xml><?xml version="1.0" encoding="utf-8"?>
<calcChain xmlns="http://schemas.openxmlformats.org/spreadsheetml/2006/main">
  <c r="P1236" i="2"/>
  <c r="P1254"/>
  <c r="P1253"/>
  <c r="P1252"/>
  <c r="P1235"/>
  <c r="P1230"/>
  <c r="P1229"/>
  <c r="P1228"/>
  <c r="P1211"/>
  <c r="P1206"/>
  <c r="P1205"/>
  <c r="P1204"/>
  <c r="P1187"/>
  <c r="P1182"/>
  <c r="P1181"/>
  <c r="P1180"/>
  <c r="P1163"/>
  <c r="P1158"/>
  <c r="P1157"/>
  <c r="P1156"/>
  <c r="P1139"/>
  <c r="P1134"/>
  <c r="P1133"/>
  <c r="P1132"/>
  <c r="P1115"/>
  <c r="P1110"/>
  <c r="P1109"/>
  <c r="P1108"/>
  <c r="P1091"/>
  <c r="P1086"/>
  <c r="P1085"/>
  <c r="P1084"/>
  <c r="P1067"/>
  <c r="P1062"/>
  <c r="P1061"/>
  <c r="P1060"/>
  <c r="P1043"/>
  <c r="P1038"/>
  <c r="P1037"/>
  <c r="P1036"/>
  <c r="P1019"/>
  <c r="P1014"/>
  <c r="P1013"/>
  <c r="P1012"/>
  <c r="P995"/>
  <c r="P990"/>
  <c r="P989"/>
  <c r="P988"/>
  <c r="P971"/>
  <c r="P966"/>
  <c r="P965"/>
  <c r="P964"/>
  <c r="P947"/>
  <c r="P942"/>
  <c r="P941"/>
  <c r="P940"/>
  <c r="P923"/>
  <c r="P918"/>
  <c r="P917"/>
  <c r="P916"/>
  <c r="P899"/>
  <c r="P894"/>
  <c r="P893"/>
  <c r="P892"/>
  <c r="P875"/>
  <c r="P870"/>
  <c r="P869"/>
  <c r="P868"/>
  <c r="P851"/>
  <c r="P846"/>
  <c r="P845"/>
  <c r="P844"/>
  <c r="P827"/>
  <c r="P822"/>
  <c r="P821"/>
  <c r="P820"/>
  <c r="P803"/>
  <c r="P798"/>
  <c r="P797"/>
  <c r="P796"/>
  <c r="P779"/>
  <c r="P774"/>
  <c r="P773"/>
  <c r="P772"/>
  <c r="P755"/>
  <c r="P750"/>
  <c r="P749"/>
  <c r="P748"/>
  <c r="P731"/>
  <c r="P726"/>
  <c r="P725"/>
  <c r="P724"/>
  <c r="P707"/>
  <c r="P702"/>
  <c r="P701"/>
  <c r="P700"/>
  <c r="P683"/>
  <c r="P678"/>
  <c r="P677"/>
  <c r="P676"/>
  <c r="P659"/>
  <c r="P654"/>
  <c r="P653"/>
  <c r="P652"/>
  <c r="P635"/>
  <c r="P630"/>
  <c r="P629"/>
  <c r="P628"/>
  <c r="P611"/>
  <c r="P606"/>
  <c r="P605"/>
  <c r="P604"/>
  <c r="P587"/>
  <c r="P582"/>
  <c r="P581"/>
  <c r="P580"/>
  <c r="P563"/>
  <c r="P558"/>
  <c r="P557"/>
  <c r="P556"/>
  <c r="P539"/>
  <c r="P534"/>
  <c r="P533"/>
  <c r="P532"/>
  <c r="P515"/>
  <c r="P510"/>
  <c r="P509"/>
  <c r="P508"/>
  <c r="P491"/>
  <c r="P486"/>
  <c r="P485"/>
  <c r="P484"/>
  <c r="P467"/>
  <c r="P462"/>
  <c r="P461"/>
  <c r="P460"/>
  <c r="P443"/>
  <c r="P438"/>
  <c r="P437"/>
  <c r="P436"/>
  <c r="P419"/>
  <c r="P414"/>
  <c r="P413"/>
  <c r="P412"/>
  <c r="P395"/>
  <c r="P390"/>
  <c r="P389"/>
  <c r="P388"/>
  <c r="P371"/>
  <c r="P366"/>
  <c r="P365"/>
  <c r="P364"/>
  <c r="P347"/>
  <c r="P342"/>
  <c r="P341"/>
  <c r="P340"/>
  <c r="P323"/>
  <c r="P318"/>
  <c r="P317"/>
  <c r="P316"/>
  <c r="P299"/>
  <c r="P294"/>
  <c r="P293"/>
  <c r="P292"/>
  <c r="P275"/>
  <c r="P270"/>
  <c r="P269"/>
  <c r="P268"/>
  <c r="P251"/>
  <c r="P246"/>
  <c r="P245"/>
  <c r="P244"/>
  <c r="P227"/>
  <c r="P222"/>
  <c r="P221"/>
  <c r="P220"/>
  <c r="P203"/>
  <c r="P198"/>
  <c r="P197"/>
  <c r="P196"/>
  <c r="P179"/>
  <c r="P174"/>
  <c r="P173"/>
  <c r="P172"/>
  <c r="P155"/>
  <c r="P150"/>
  <c r="P149"/>
  <c r="P148"/>
  <c r="P131"/>
  <c r="P126"/>
  <c r="P125"/>
  <c r="P124"/>
  <c r="P107"/>
  <c r="P102"/>
  <c r="P101"/>
  <c r="P100"/>
  <c r="P83"/>
  <c r="P78"/>
  <c r="P77"/>
  <c r="P76"/>
  <c r="P59"/>
  <c r="P54"/>
  <c r="P53"/>
  <c r="P52"/>
  <c r="P35"/>
  <c r="P30"/>
  <c r="P29"/>
  <c r="P28"/>
  <c r="P11"/>
  <c r="P6"/>
  <c r="P5"/>
  <c r="P4"/>
  <c r="N1258"/>
  <c r="M1258"/>
  <c r="L1258"/>
  <c r="K1258"/>
  <c r="I1258"/>
  <c r="H1258"/>
  <c r="J1258" s="1"/>
  <c r="N1257"/>
  <c r="M1257"/>
  <c r="K1257"/>
  <c r="J1257"/>
  <c r="I1257"/>
  <c r="L1257" s="1"/>
  <c r="H1257"/>
  <c r="K1256"/>
  <c r="N1256" s="1"/>
  <c r="J1256"/>
  <c r="M1256" s="1"/>
  <c r="H1256"/>
  <c r="I1256" s="1"/>
  <c r="L1256" s="1"/>
  <c r="K1255"/>
  <c r="N1255" s="1"/>
  <c r="H1255"/>
  <c r="I1255" s="1"/>
  <c r="L1255" s="1"/>
  <c r="M1254"/>
  <c r="K1254"/>
  <c r="N1254" s="1"/>
  <c r="J1254"/>
  <c r="I1254"/>
  <c r="L1254" s="1"/>
  <c r="H1254"/>
  <c r="H1253"/>
  <c r="H1252"/>
  <c r="H1251"/>
  <c r="N1250"/>
  <c r="M1250"/>
  <c r="K1250"/>
  <c r="J1250"/>
  <c r="H1250"/>
  <c r="I1250" s="1"/>
  <c r="L1250" s="1"/>
  <c r="L1249"/>
  <c r="K1249"/>
  <c r="N1249" s="1"/>
  <c r="I1249"/>
  <c r="H1249"/>
  <c r="J1249" s="1"/>
  <c r="M1249" s="1"/>
  <c r="K1248"/>
  <c r="N1248" s="1"/>
  <c r="J1248"/>
  <c r="M1248" s="1"/>
  <c r="I1248"/>
  <c r="L1248" s="1"/>
  <c r="H1248"/>
  <c r="J1247"/>
  <c r="M1247" s="1"/>
  <c r="H1247"/>
  <c r="I1247" s="1"/>
  <c r="L1247" s="1"/>
  <c r="I1246"/>
  <c r="L1246" s="1"/>
  <c r="H1246"/>
  <c r="J1246" s="1"/>
  <c r="M1246" s="1"/>
  <c r="I1245"/>
  <c r="L1245" s="1"/>
  <c r="H1245"/>
  <c r="N1244"/>
  <c r="K1244"/>
  <c r="J1244"/>
  <c r="M1244" s="1"/>
  <c r="I1244"/>
  <c r="L1244" s="1"/>
  <c r="H1244"/>
  <c r="N1243"/>
  <c r="K1243"/>
  <c r="H1243"/>
  <c r="I1243" s="1"/>
  <c r="L1243" s="1"/>
  <c r="N1242"/>
  <c r="M1242"/>
  <c r="L1242"/>
  <c r="K1242"/>
  <c r="J1242"/>
  <c r="I1242"/>
  <c r="H1242"/>
  <c r="M1241"/>
  <c r="L1241"/>
  <c r="K1241"/>
  <c r="N1241" s="1"/>
  <c r="J1241"/>
  <c r="H1241"/>
  <c r="I1241" s="1"/>
  <c r="M1240"/>
  <c r="L1240"/>
  <c r="I1240"/>
  <c r="H1240"/>
  <c r="J1240" s="1"/>
  <c r="K1239"/>
  <c r="N1239" s="1"/>
  <c r="J1239"/>
  <c r="M1239" s="1"/>
  <c r="I1239"/>
  <c r="L1239" s="1"/>
  <c r="H1239"/>
  <c r="I1238"/>
  <c r="L1238" s="1"/>
  <c r="H1238"/>
  <c r="K1238" s="1"/>
  <c r="N1238" s="1"/>
  <c r="K1237"/>
  <c r="N1237" s="1"/>
  <c r="J1237"/>
  <c r="M1237" s="1"/>
  <c r="I1237"/>
  <c r="L1237" s="1"/>
  <c r="H1237"/>
  <c r="L1236"/>
  <c r="H1236"/>
  <c r="I1236" s="1"/>
  <c r="N1235"/>
  <c r="M1235"/>
  <c r="L1235"/>
  <c r="K1235"/>
  <c r="J1235"/>
  <c r="I1235"/>
  <c r="H1235"/>
  <c r="N1234"/>
  <c r="M1234"/>
  <c r="L1234"/>
  <c r="K1234"/>
  <c r="I1234"/>
  <c r="H1234"/>
  <c r="J1234" s="1"/>
  <c r="N1233"/>
  <c r="L1233"/>
  <c r="K1233"/>
  <c r="J1233"/>
  <c r="M1233" s="1"/>
  <c r="I1233"/>
  <c r="H1233"/>
  <c r="L1232"/>
  <c r="K1232"/>
  <c r="N1232" s="1"/>
  <c r="J1232"/>
  <c r="M1232" s="1"/>
  <c r="I1232"/>
  <c r="H1232"/>
  <c r="K1231"/>
  <c r="N1231" s="1"/>
  <c r="J1231"/>
  <c r="M1231" s="1"/>
  <c r="I1231"/>
  <c r="L1231" s="1"/>
  <c r="H1231"/>
  <c r="L1230"/>
  <c r="K1230"/>
  <c r="N1230" s="1"/>
  <c r="J1230"/>
  <c r="M1230" s="1"/>
  <c r="I1230"/>
  <c r="H1230"/>
  <c r="H1229"/>
  <c r="H1228"/>
  <c r="N1227"/>
  <c r="H1227"/>
  <c r="K1227" s="1"/>
  <c r="N1226"/>
  <c r="M1226"/>
  <c r="K1226"/>
  <c r="J1226"/>
  <c r="H1226"/>
  <c r="I1226" s="1"/>
  <c r="L1226" s="1"/>
  <c r="M1225"/>
  <c r="L1225"/>
  <c r="K1225"/>
  <c r="N1225" s="1"/>
  <c r="J1225"/>
  <c r="I1225"/>
  <c r="H1225"/>
  <c r="L1224"/>
  <c r="K1224"/>
  <c r="N1224" s="1"/>
  <c r="J1224"/>
  <c r="M1224" s="1"/>
  <c r="I1224"/>
  <c r="H1224"/>
  <c r="K1223"/>
  <c r="N1223" s="1"/>
  <c r="J1223"/>
  <c r="M1223" s="1"/>
  <c r="H1223"/>
  <c r="I1223" s="1"/>
  <c r="L1223" s="1"/>
  <c r="I1222"/>
  <c r="L1222" s="1"/>
  <c r="H1222"/>
  <c r="J1222" s="1"/>
  <c r="M1222" s="1"/>
  <c r="I1221"/>
  <c r="L1221" s="1"/>
  <c r="H1221"/>
  <c r="K1220"/>
  <c r="N1220" s="1"/>
  <c r="J1220"/>
  <c r="M1220" s="1"/>
  <c r="I1220"/>
  <c r="L1220" s="1"/>
  <c r="H1220"/>
  <c r="K1219"/>
  <c r="N1219" s="1"/>
  <c r="H1219"/>
  <c r="I1219" s="1"/>
  <c r="L1219" s="1"/>
  <c r="N1218"/>
  <c r="M1218"/>
  <c r="L1218"/>
  <c r="K1218"/>
  <c r="J1218"/>
  <c r="I1218"/>
  <c r="H1218"/>
  <c r="J1217"/>
  <c r="M1217" s="1"/>
  <c r="H1217"/>
  <c r="I1217" s="1"/>
  <c r="L1217" s="1"/>
  <c r="M1216"/>
  <c r="I1216"/>
  <c r="L1216" s="1"/>
  <c r="H1216"/>
  <c r="J1216" s="1"/>
  <c r="K1215"/>
  <c r="N1215" s="1"/>
  <c r="J1215"/>
  <c r="M1215" s="1"/>
  <c r="I1215"/>
  <c r="L1215" s="1"/>
  <c r="H1215"/>
  <c r="J1214"/>
  <c r="M1214" s="1"/>
  <c r="I1214"/>
  <c r="L1214" s="1"/>
  <c r="H1214"/>
  <c r="K1214" s="1"/>
  <c r="N1214" s="1"/>
  <c r="I1213"/>
  <c r="L1213" s="1"/>
  <c r="H1213"/>
  <c r="L1212"/>
  <c r="H1212"/>
  <c r="I1212" s="1"/>
  <c r="N1211"/>
  <c r="M1211"/>
  <c r="L1211"/>
  <c r="K1211"/>
  <c r="J1211"/>
  <c r="I1211"/>
  <c r="H1211"/>
  <c r="M1210"/>
  <c r="H1210"/>
  <c r="J1210" s="1"/>
  <c r="N1209"/>
  <c r="M1209"/>
  <c r="K1209"/>
  <c r="J1209"/>
  <c r="I1209"/>
  <c r="L1209" s="1"/>
  <c r="H1209"/>
  <c r="L1208"/>
  <c r="K1208"/>
  <c r="N1208" s="1"/>
  <c r="J1208"/>
  <c r="M1208" s="1"/>
  <c r="I1208"/>
  <c r="H1208"/>
  <c r="K1207"/>
  <c r="N1207" s="1"/>
  <c r="J1207"/>
  <c r="M1207" s="1"/>
  <c r="I1207"/>
  <c r="L1207" s="1"/>
  <c r="H1207"/>
  <c r="M1206"/>
  <c r="L1206"/>
  <c r="K1206"/>
  <c r="N1206" s="1"/>
  <c r="J1206"/>
  <c r="I1206"/>
  <c r="H1206"/>
  <c r="H1205"/>
  <c r="H1204"/>
  <c r="I1203"/>
  <c r="L1203" s="1"/>
  <c r="H1203"/>
  <c r="K1202"/>
  <c r="N1202" s="1"/>
  <c r="J1202"/>
  <c r="M1202" s="1"/>
  <c r="H1202"/>
  <c r="I1202" s="1"/>
  <c r="L1202" s="1"/>
  <c r="M1201"/>
  <c r="L1201"/>
  <c r="K1201"/>
  <c r="N1201" s="1"/>
  <c r="J1201"/>
  <c r="I1201"/>
  <c r="H1201"/>
  <c r="L1200"/>
  <c r="K1200"/>
  <c r="N1200" s="1"/>
  <c r="J1200"/>
  <c r="M1200" s="1"/>
  <c r="I1200"/>
  <c r="H1200"/>
  <c r="M1199"/>
  <c r="J1199"/>
  <c r="H1199"/>
  <c r="I1199" s="1"/>
  <c r="L1199" s="1"/>
  <c r="J1198"/>
  <c r="M1198" s="1"/>
  <c r="I1198"/>
  <c r="L1198" s="1"/>
  <c r="H1198"/>
  <c r="K1198" s="1"/>
  <c r="N1198" s="1"/>
  <c r="I1197"/>
  <c r="L1197" s="1"/>
  <c r="H1197"/>
  <c r="K1196"/>
  <c r="N1196" s="1"/>
  <c r="H1196"/>
  <c r="N1195"/>
  <c r="L1195"/>
  <c r="K1195"/>
  <c r="I1195"/>
  <c r="H1195"/>
  <c r="J1195" s="1"/>
  <c r="M1195" s="1"/>
  <c r="N1194"/>
  <c r="M1194"/>
  <c r="L1194"/>
  <c r="K1194"/>
  <c r="J1194"/>
  <c r="I1194"/>
  <c r="H1194"/>
  <c r="J1193"/>
  <c r="M1193" s="1"/>
  <c r="H1193"/>
  <c r="I1193" s="1"/>
  <c r="L1193" s="1"/>
  <c r="N1192"/>
  <c r="M1192"/>
  <c r="L1192"/>
  <c r="K1192"/>
  <c r="I1192"/>
  <c r="H1192"/>
  <c r="J1192" s="1"/>
  <c r="K1191"/>
  <c r="N1191" s="1"/>
  <c r="J1191"/>
  <c r="M1191" s="1"/>
  <c r="I1191"/>
  <c r="L1191" s="1"/>
  <c r="H1191"/>
  <c r="J1190"/>
  <c r="M1190" s="1"/>
  <c r="I1190"/>
  <c r="L1190" s="1"/>
  <c r="H1190"/>
  <c r="K1190" s="1"/>
  <c r="N1190" s="1"/>
  <c r="H1189"/>
  <c r="I1189" s="1"/>
  <c r="L1189" s="1"/>
  <c r="L1188"/>
  <c r="H1188"/>
  <c r="I1188" s="1"/>
  <c r="N1187"/>
  <c r="M1187"/>
  <c r="L1187"/>
  <c r="K1187"/>
  <c r="J1187"/>
  <c r="I1187"/>
  <c r="H1187"/>
  <c r="N1186"/>
  <c r="M1186"/>
  <c r="L1186"/>
  <c r="K1186"/>
  <c r="I1186"/>
  <c r="H1186"/>
  <c r="J1186" s="1"/>
  <c r="N1185"/>
  <c r="M1185"/>
  <c r="L1185"/>
  <c r="K1185"/>
  <c r="J1185"/>
  <c r="I1185"/>
  <c r="H1185"/>
  <c r="L1184"/>
  <c r="K1184"/>
  <c r="N1184" s="1"/>
  <c r="J1184"/>
  <c r="M1184" s="1"/>
  <c r="I1184"/>
  <c r="H1184"/>
  <c r="K1183"/>
  <c r="N1183" s="1"/>
  <c r="J1183"/>
  <c r="M1183" s="1"/>
  <c r="I1183"/>
  <c r="L1183" s="1"/>
  <c r="H1183"/>
  <c r="M1182"/>
  <c r="K1182"/>
  <c r="N1182" s="1"/>
  <c r="J1182"/>
  <c r="I1182"/>
  <c r="L1182" s="1"/>
  <c r="H1182"/>
  <c r="H1181"/>
  <c r="H1180"/>
  <c r="N1179"/>
  <c r="H1179"/>
  <c r="K1179" s="1"/>
  <c r="M1178"/>
  <c r="K1178"/>
  <c r="N1178" s="1"/>
  <c r="J1178"/>
  <c r="H1178"/>
  <c r="I1178" s="1"/>
  <c r="L1178" s="1"/>
  <c r="M1177"/>
  <c r="L1177"/>
  <c r="K1177"/>
  <c r="N1177" s="1"/>
  <c r="J1177"/>
  <c r="I1177"/>
  <c r="H1177"/>
  <c r="L1176"/>
  <c r="K1176"/>
  <c r="N1176" s="1"/>
  <c r="J1176"/>
  <c r="M1176" s="1"/>
  <c r="I1176"/>
  <c r="H1176"/>
  <c r="N1175"/>
  <c r="M1175"/>
  <c r="L1175"/>
  <c r="K1175"/>
  <c r="J1175"/>
  <c r="H1175"/>
  <c r="I1175" s="1"/>
  <c r="J1174"/>
  <c r="M1174" s="1"/>
  <c r="I1174"/>
  <c r="L1174" s="1"/>
  <c r="H1174"/>
  <c r="K1174" s="1"/>
  <c r="N1174" s="1"/>
  <c r="I1173"/>
  <c r="L1173" s="1"/>
  <c r="H1173"/>
  <c r="K1172"/>
  <c r="N1172" s="1"/>
  <c r="J1172"/>
  <c r="M1172" s="1"/>
  <c r="I1172"/>
  <c r="L1172" s="1"/>
  <c r="H1172"/>
  <c r="L1171"/>
  <c r="K1171"/>
  <c r="N1171" s="1"/>
  <c r="I1171"/>
  <c r="H1171"/>
  <c r="J1171" s="1"/>
  <c r="M1171" s="1"/>
  <c r="N1170"/>
  <c r="M1170"/>
  <c r="L1170"/>
  <c r="K1170"/>
  <c r="J1170"/>
  <c r="I1170"/>
  <c r="H1170"/>
  <c r="K1169"/>
  <c r="N1169" s="1"/>
  <c r="J1169"/>
  <c r="M1169" s="1"/>
  <c r="H1169"/>
  <c r="I1169" s="1"/>
  <c r="L1169" s="1"/>
  <c r="N1168"/>
  <c r="K1168"/>
  <c r="H1168"/>
  <c r="J1168" s="1"/>
  <c r="M1168" s="1"/>
  <c r="K1167"/>
  <c r="N1167" s="1"/>
  <c r="J1167"/>
  <c r="M1167" s="1"/>
  <c r="I1167"/>
  <c r="L1167" s="1"/>
  <c r="H1167"/>
  <c r="J1166"/>
  <c r="M1166" s="1"/>
  <c r="I1166"/>
  <c r="L1166" s="1"/>
  <c r="H1166"/>
  <c r="K1166" s="1"/>
  <c r="N1166" s="1"/>
  <c r="N1165"/>
  <c r="L1165"/>
  <c r="K1165"/>
  <c r="J1165"/>
  <c r="M1165" s="1"/>
  <c r="I1165"/>
  <c r="H1165"/>
  <c r="H1164"/>
  <c r="I1164" s="1"/>
  <c r="L1164" s="1"/>
  <c r="N1163"/>
  <c r="M1163"/>
  <c r="L1163"/>
  <c r="K1163"/>
  <c r="J1163"/>
  <c r="I1163"/>
  <c r="H1163"/>
  <c r="M1162"/>
  <c r="K1162"/>
  <c r="N1162" s="1"/>
  <c r="I1162"/>
  <c r="L1162" s="1"/>
  <c r="H1162"/>
  <c r="J1162" s="1"/>
  <c r="N1161"/>
  <c r="M1161"/>
  <c r="L1161"/>
  <c r="K1161"/>
  <c r="J1161"/>
  <c r="I1161"/>
  <c r="H1161"/>
  <c r="L1160"/>
  <c r="K1160"/>
  <c r="N1160" s="1"/>
  <c r="J1160"/>
  <c r="M1160" s="1"/>
  <c r="I1160"/>
  <c r="H1160"/>
  <c r="K1159"/>
  <c r="N1159" s="1"/>
  <c r="J1159"/>
  <c r="M1159" s="1"/>
  <c r="I1159"/>
  <c r="L1159" s="1"/>
  <c r="H1159"/>
  <c r="M1158"/>
  <c r="L1158"/>
  <c r="K1158"/>
  <c r="N1158" s="1"/>
  <c r="J1158"/>
  <c r="I1158"/>
  <c r="H1158"/>
  <c r="H1157"/>
  <c r="H1156"/>
  <c r="N1155"/>
  <c r="M1155"/>
  <c r="L1155"/>
  <c r="J1155"/>
  <c r="I1155"/>
  <c r="H1155"/>
  <c r="K1155" s="1"/>
  <c r="K1154"/>
  <c r="N1154" s="1"/>
  <c r="J1154"/>
  <c r="M1154" s="1"/>
  <c r="H1154"/>
  <c r="I1154" s="1"/>
  <c r="L1154" s="1"/>
  <c r="M1153"/>
  <c r="L1153"/>
  <c r="K1153"/>
  <c r="N1153" s="1"/>
  <c r="J1153"/>
  <c r="I1153"/>
  <c r="H1153"/>
  <c r="K1152"/>
  <c r="N1152" s="1"/>
  <c r="J1152"/>
  <c r="M1152" s="1"/>
  <c r="I1152"/>
  <c r="L1152" s="1"/>
  <c r="H1152"/>
  <c r="N1151"/>
  <c r="L1151"/>
  <c r="K1151"/>
  <c r="H1151"/>
  <c r="I1151" s="1"/>
  <c r="J1150"/>
  <c r="M1150" s="1"/>
  <c r="I1150"/>
  <c r="L1150" s="1"/>
  <c r="H1150"/>
  <c r="K1150" s="1"/>
  <c r="N1150" s="1"/>
  <c r="I1149"/>
  <c r="L1149" s="1"/>
  <c r="H1149"/>
  <c r="I1148"/>
  <c r="L1148" s="1"/>
  <c r="H1148"/>
  <c r="J1148" s="1"/>
  <c r="M1148" s="1"/>
  <c r="N1147"/>
  <c r="L1147"/>
  <c r="K1147"/>
  <c r="I1147"/>
  <c r="H1147"/>
  <c r="J1147" s="1"/>
  <c r="M1147" s="1"/>
  <c r="N1146"/>
  <c r="M1146"/>
  <c r="L1146"/>
  <c r="K1146"/>
  <c r="J1146"/>
  <c r="I1146"/>
  <c r="H1146"/>
  <c r="H1145"/>
  <c r="N1144"/>
  <c r="M1144"/>
  <c r="L1144"/>
  <c r="K1144"/>
  <c r="I1144"/>
  <c r="H1144"/>
  <c r="J1144" s="1"/>
  <c r="K1143"/>
  <c r="N1143" s="1"/>
  <c r="J1143"/>
  <c r="M1143" s="1"/>
  <c r="I1143"/>
  <c r="L1143" s="1"/>
  <c r="H1143"/>
  <c r="J1142"/>
  <c r="M1142" s="1"/>
  <c r="I1142"/>
  <c r="L1142" s="1"/>
  <c r="H1142"/>
  <c r="K1142" s="1"/>
  <c r="N1142" s="1"/>
  <c r="N1141"/>
  <c r="K1141"/>
  <c r="J1141"/>
  <c r="M1141" s="1"/>
  <c r="H1141"/>
  <c r="I1141" s="1"/>
  <c r="L1141" s="1"/>
  <c r="H1140"/>
  <c r="I1140" s="1"/>
  <c r="L1140" s="1"/>
  <c r="N1139"/>
  <c r="M1139"/>
  <c r="L1139"/>
  <c r="K1139"/>
  <c r="J1139"/>
  <c r="I1139"/>
  <c r="H1139"/>
  <c r="H1138"/>
  <c r="N1137"/>
  <c r="M1137"/>
  <c r="L1137"/>
  <c r="K1137"/>
  <c r="J1137"/>
  <c r="I1137"/>
  <c r="H1137"/>
  <c r="L1136"/>
  <c r="K1136"/>
  <c r="N1136" s="1"/>
  <c r="J1136"/>
  <c r="M1136" s="1"/>
  <c r="I1136"/>
  <c r="H1136"/>
  <c r="K1135"/>
  <c r="N1135" s="1"/>
  <c r="I1135"/>
  <c r="L1135" s="1"/>
  <c r="H1135"/>
  <c r="J1135" s="1"/>
  <c r="M1135" s="1"/>
  <c r="K1134"/>
  <c r="N1134" s="1"/>
  <c r="J1134"/>
  <c r="M1134" s="1"/>
  <c r="I1134"/>
  <c r="L1134" s="1"/>
  <c r="H1134"/>
  <c r="H1133"/>
  <c r="H1132"/>
  <c r="N1131"/>
  <c r="J1131"/>
  <c r="M1131" s="1"/>
  <c r="H1131"/>
  <c r="K1131" s="1"/>
  <c r="N1130"/>
  <c r="K1130"/>
  <c r="J1130"/>
  <c r="M1130" s="1"/>
  <c r="H1130"/>
  <c r="I1130" s="1"/>
  <c r="L1130" s="1"/>
  <c r="M1129"/>
  <c r="L1129"/>
  <c r="K1129"/>
  <c r="N1129" s="1"/>
  <c r="J1129"/>
  <c r="I1129"/>
  <c r="H1129"/>
  <c r="L1128"/>
  <c r="K1128"/>
  <c r="N1128" s="1"/>
  <c r="J1128"/>
  <c r="M1128" s="1"/>
  <c r="I1128"/>
  <c r="H1128"/>
  <c r="L1127"/>
  <c r="H1127"/>
  <c r="I1127" s="1"/>
  <c r="N1126"/>
  <c r="J1126"/>
  <c r="M1126" s="1"/>
  <c r="I1126"/>
  <c r="L1126" s="1"/>
  <c r="H1126"/>
  <c r="K1126" s="1"/>
  <c r="H1125"/>
  <c r="I1125" s="1"/>
  <c r="L1125" s="1"/>
  <c r="K1124"/>
  <c r="N1124" s="1"/>
  <c r="J1124"/>
  <c r="M1124" s="1"/>
  <c r="I1124"/>
  <c r="L1124" s="1"/>
  <c r="H1124"/>
  <c r="L1123"/>
  <c r="K1123"/>
  <c r="N1123" s="1"/>
  <c r="I1123"/>
  <c r="H1123"/>
  <c r="J1123" s="1"/>
  <c r="M1123" s="1"/>
  <c r="N1122"/>
  <c r="M1122"/>
  <c r="L1122"/>
  <c r="K1122"/>
  <c r="J1122"/>
  <c r="I1122"/>
  <c r="H1122"/>
  <c r="L1121"/>
  <c r="K1121"/>
  <c r="N1121" s="1"/>
  <c r="H1121"/>
  <c r="I1121" s="1"/>
  <c r="M1120"/>
  <c r="L1120"/>
  <c r="K1120"/>
  <c r="N1120" s="1"/>
  <c r="I1120"/>
  <c r="H1120"/>
  <c r="J1120" s="1"/>
  <c r="K1119"/>
  <c r="N1119" s="1"/>
  <c r="J1119"/>
  <c r="M1119" s="1"/>
  <c r="I1119"/>
  <c r="L1119" s="1"/>
  <c r="H1119"/>
  <c r="H1118"/>
  <c r="N1117"/>
  <c r="K1117"/>
  <c r="H1117"/>
  <c r="I1117" s="1"/>
  <c r="L1117" s="1"/>
  <c r="H1116"/>
  <c r="I1116" s="1"/>
  <c r="L1116" s="1"/>
  <c r="N1115"/>
  <c r="M1115"/>
  <c r="L1115"/>
  <c r="K1115"/>
  <c r="J1115"/>
  <c r="I1115"/>
  <c r="H1115"/>
  <c r="N1114"/>
  <c r="M1114"/>
  <c r="L1114"/>
  <c r="K1114"/>
  <c r="I1114"/>
  <c r="H1114"/>
  <c r="J1114" s="1"/>
  <c r="N1113"/>
  <c r="M1113"/>
  <c r="L1113"/>
  <c r="K1113"/>
  <c r="J1113"/>
  <c r="I1113"/>
  <c r="H1113"/>
  <c r="L1112"/>
  <c r="K1112"/>
  <c r="N1112" s="1"/>
  <c r="J1112"/>
  <c r="M1112" s="1"/>
  <c r="I1112"/>
  <c r="H1112"/>
  <c r="I1111"/>
  <c r="L1111" s="1"/>
  <c r="H1111"/>
  <c r="K1110"/>
  <c r="N1110" s="1"/>
  <c r="J1110"/>
  <c r="M1110" s="1"/>
  <c r="I1110"/>
  <c r="L1110" s="1"/>
  <c r="H1110"/>
  <c r="H1109"/>
  <c r="H1108"/>
  <c r="N1107"/>
  <c r="H1107"/>
  <c r="K1107" s="1"/>
  <c r="M1106"/>
  <c r="K1106"/>
  <c r="N1106" s="1"/>
  <c r="J1106"/>
  <c r="H1106"/>
  <c r="I1106" s="1"/>
  <c r="L1106" s="1"/>
  <c r="M1105"/>
  <c r="L1105"/>
  <c r="K1105"/>
  <c r="N1105" s="1"/>
  <c r="J1105"/>
  <c r="I1105"/>
  <c r="H1105"/>
  <c r="L1104"/>
  <c r="K1104"/>
  <c r="N1104" s="1"/>
  <c r="J1104"/>
  <c r="M1104" s="1"/>
  <c r="I1104"/>
  <c r="H1104"/>
  <c r="N1103"/>
  <c r="M1103"/>
  <c r="L1103"/>
  <c r="K1103"/>
  <c r="J1103"/>
  <c r="H1103"/>
  <c r="I1103" s="1"/>
  <c r="N1102"/>
  <c r="J1102"/>
  <c r="M1102" s="1"/>
  <c r="I1102"/>
  <c r="L1102" s="1"/>
  <c r="H1102"/>
  <c r="K1102" s="1"/>
  <c r="I1101"/>
  <c r="L1101" s="1"/>
  <c r="H1101"/>
  <c r="K1100"/>
  <c r="N1100" s="1"/>
  <c r="J1100"/>
  <c r="M1100" s="1"/>
  <c r="H1100"/>
  <c r="I1100" s="1"/>
  <c r="L1100" s="1"/>
  <c r="N1099"/>
  <c r="L1099"/>
  <c r="K1099"/>
  <c r="H1099"/>
  <c r="I1099" s="1"/>
  <c r="N1098"/>
  <c r="M1098"/>
  <c r="L1098"/>
  <c r="K1098"/>
  <c r="J1098"/>
  <c r="I1098"/>
  <c r="H1098"/>
  <c r="L1097"/>
  <c r="K1097"/>
  <c r="N1097" s="1"/>
  <c r="H1097"/>
  <c r="I1097" s="1"/>
  <c r="I1096"/>
  <c r="L1096" s="1"/>
  <c r="H1096"/>
  <c r="K1095"/>
  <c r="N1095" s="1"/>
  <c r="J1095"/>
  <c r="M1095" s="1"/>
  <c r="I1095"/>
  <c r="L1095" s="1"/>
  <c r="H1095"/>
  <c r="J1094"/>
  <c r="M1094" s="1"/>
  <c r="I1094"/>
  <c r="L1094" s="1"/>
  <c r="H1094"/>
  <c r="K1094" s="1"/>
  <c r="N1094" s="1"/>
  <c r="L1093"/>
  <c r="K1093"/>
  <c r="N1093" s="1"/>
  <c r="J1093"/>
  <c r="M1093" s="1"/>
  <c r="I1093"/>
  <c r="H1093"/>
  <c r="H1092"/>
  <c r="I1092" s="1"/>
  <c r="L1092" s="1"/>
  <c r="N1091"/>
  <c r="M1091"/>
  <c r="L1091"/>
  <c r="K1091"/>
  <c r="J1091"/>
  <c r="I1091"/>
  <c r="H1091"/>
  <c r="N1090"/>
  <c r="M1090"/>
  <c r="L1090"/>
  <c r="K1090"/>
  <c r="I1090"/>
  <c r="H1090"/>
  <c r="J1090" s="1"/>
  <c r="N1089"/>
  <c r="M1089"/>
  <c r="K1089"/>
  <c r="J1089"/>
  <c r="I1089"/>
  <c r="L1089" s="1"/>
  <c r="H1089"/>
  <c r="L1088"/>
  <c r="K1088"/>
  <c r="N1088" s="1"/>
  <c r="J1088"/>
  <c r="M1088" s="1"/>
  <c r="I1088"/>
  <c r="H1088"/>
  <c r="K1087"/>
  <c r="N1087" s="1"/>
  <c r="J1087"/>
  <c r="M1087" s="1"/>
  <c r="H1087"/>
  <c r="I1087" s="1"/>
  <c r="L1087" s="1"/>
  <c r="K1086"/>
  <c r="N1086" s="1"/>
  <c r="J1086"/>
  <c r="M1086" s="1"/>
  <c r="I1086"/>
  <c r="L1086" s="1"/>
  <c r="H1086"/>
  <c r="H1085"/>
  <c r="H1084"/>
  <c r="N1083"/>
  <c r="L1083"/>
  <c r="J1083"/>
  <c r="M1083" s="1"/>
  <c r="I1083"/>
  <c r="H1083"/>
  <c r="K1083" s="1"/>
  <c r="N1082"/>
  <c r="M1082"/>
  <c r="L1082"/>
  <c r="K1082"/>
  <c r="J1082"/>
  <c r="I1082"/>
  <c r="H1082"/>
  <c r="M1081"/>
  <c r="L1081"/>
  <c r="K1081"/>
  <c r="N1081" s="1"/>
  <c r="J1081"/>
  <c r="I1081"/>
  <c r="H1081"/>
  <c r="L1080"/>
  <c r="K1080"/>
  <c r="N1080" s="1"/>
  <c r="J1080"/>
  <c r="M1080" s="1"/>
  <c r="I1080"/>
  <c r="H1080"/>
  <c r="M1079"/>
  <c r="L1079"/>
  <c r="K1079"/>
  <c r="N1079" s="1"/>
  <c r="J1079"/>
  <c r="H1079"/>
  <c r="I1079" s="1"/>
  <c r="N1078"/>
  <c r="J1078"/>
  <c r="M1078" s="1"/>
  <c r="I1078"/>
  <c r="L1078" s="1"/>
  <c r="H1078"/>
  <c r="K1078" s="1"/>
  <c r="H1077"/>
  <c r="I1077" s="1"/>
  <c r="L1077" s="1"/>
  <c r="H1076"/>
  <c r="K1076" s="1"/>
  <c r="N1076" s="1"/>
  <c r="N1075"/>
  <c r="M1075"/>
  <c r="L1075"/>
  <c r="K1075"/>
  <c r="J1075"/>
  <c r="I1075"/>
  <c r="H1075"/>
  <c r="N1074"/>
  <c r="M1074"/>
  <c r="L1074"/>
  <c r="K1074"/>
  <c r="J1074"/>
  <c r="I1074"/>
  <c r="H1074"/>
  <c r="L1073"/>
  <c r="K1073"/>
  <c r="N1073" s="1"/>
  <c r="J1073"/>
  <c r="M1073" s="1"/>
  <c r="H1073"/>
  <c r="I1073" s="1"/>
  <c r="K1072"/>
  <c r="N1072" s="1"/>
  <c r="I1072"/>
  <c r="L1072" s="1"/>
  <c r="H1072"/>
  <c r="J1072" s="1"/>
  <c r="M1072" s="1"/>
  <c r="K1071"/>
  <c r="N1071" s="1"/>
  <c r="J1071"/>
  <c r="M1071" s="1"/>
  <c r="I1071"/>
  <c r="L1071" s="1"/>
  <c r="H1071"/>
  <c r="J1070"/>
  <c r="M1070" s="1"/>
  <c r="I1070"/>
  <c r="L1070" s="1"/>
  <c r="H1070"/>
  <c r="K1070" s="1"/>
  <c r="N1070" s="1"/>
  <c r="N1069"/>
  <c r="L1069"/>
  <c r="K1069"/>
  <c r="J1069"/>
  <c r="M1069" s="1"/>
  <c r="I1069"/>
  <c r="H1069"/>
  <c r="H1068"/>
  <c r="I1068" s="1"/>
  <c r="L1068" s="1"/>
  <c r="N1067"/>
  <c r="M1067"/>
  <c r="L1067"/>
  <c r="K1067"/>
  <c r="J1067"/>
  <c r="I1067"/>
  <c r="H1067"/>
  <c r="N1066"/>
  <c r="M1066"/>
  <c r="K1066"/>
  <c r="I1066"/>
  <c r="L1066" s="1"/>
  <c r="H1066"/>
  <c r="J1066" s="1"/>
  <c r="N1065"/>
  <c r="M1065"/>
  <c r="L1065"/>
  <c r="K1065"/>
  <c r="J1065"/>
  <c r="I1065"/>
  <c r="H1065"/>
  <c r="K1064"/>
  <c r="N1064" s="1"/>
  <c r="J1064"/>
  <c r="M1064" s="1"/>
  <c r="H1064"/>
  <c r="I1064" s="1"/>
  <c r="L1064" s="1"/>
  <c r="K1063"/>
  <c r="N1063" s="1"/>
  <c r="J1063"/>
  <c r="M1063" s="1"/>
  <c r="H1063"/>
  <c r="I1063" s="1"/>
  <c r="L1063" s="1"/>
  <c r="L1062"/>
  <c r="K1062"/>
  <c r="N1062" s="1"/>
  <c r="J1062"/>
  <c r="M1062" s="1"/>
  <c r="I1062"/>
  <c r="H1062"/>
  <c r="H1061"/>
  <c r="H1060"/>
  <c r="N1059"/>
  <c r="L1059"/>
  <c r="J1059"/>
  <c r="M1059" s="1"/>
  <c r="I1059"/>
  <c r="H1059"/>
  <c r="K1059" s="1"/>
  <c r="K1058"/>
  <c r="N1058" s="1"/>
  <c r="J1058"/>
  <c r="M1058" s="1"/>
  <c r="H1058"/>
  <c r="I1058" s="1"/>
  <c r="L1058" s="1"/>
  <c r="M1057"/>
  <c r="L1057"/>
  <c r="K1057"/>
  <c r="N1057" s="1"/>
  <c r="J1057"/>
  <c r="I1057"/>
  <c r="H1057"/>
  <c r="L1056"/>
  <c r="K1056"/>
  <c r="N1056" s="1"/>
  <c r="J1056"/>
  <c r="M1056" s="1"/>
  <c r="I1056"/>
  <c r="H1056"/>
  <c r="M1055"/>
  <c r="J1055"/>
  <c r="H1055"/>
  <c r="I1055" s="1"/>
  <c r="L1055" s="1"/>
  <c r="N1054"/>
  <c r="J1054"/>
  <c r="M1054" s="1"/>
  <c r="I1054"/>
  <c r="L1054" s="1"/>
  <c r="H1054"/>
  <c r="K1054" s="1"/>
  <c r="I1053"/>
  <c r="L1053" s="1"/>
  <c r="H1053"/>
  <c r="H1052"/>
  <c r="N1051"/>
  <c r="M1051"/>
  <c r="L1051"/>
  <c r="K1051"/>
  <c r="J1051"/>
  <c r="I1051"/>
  <c r="H1051"/>
  <c r="N1050"/>
  <c r="M1050"/>
  <c r="L1050"/>
  <c r="K1050"/>
  <c r="J1050"/>
  <c r="I1050"/>
  <c r="H1050"/>
  <c r="K1049"/>
  <c r="N1049" s="1"/>
  <c r="H1049"/>
  <c r="I1049" s="1"/>
  <c r="L1049" s="1"/>
  <c r="H1048"/>
  <c r="I1048" s="1"/>
  <c r="L1048" s="1"/>
  <c r="K1047"/>
  <c r="N1047" s="1"/>
  <c r="J1047"/>
  <c r="M1047" s="1"/>
  <c r="I1047"/>
  <c r="L1047" s="1"/>
  <c r="H1047"/>
  <c r="I1046"/>
  <c r="L1046" s="1"/>
  <c r="H1046"/>
  <c r="K1046" s="1"/>
  <c r="N1046" s="1"/>
  <c r="L1045"/>
  <c r="K1045"/>
  <c r="N1045" s="1"/>
  <c r="J1045"/>
  <c r="M1045" s="1"/>
  <c r="I1045"/>
  <c r="H1045"/>
  <c r="H1044"/>
  <c r="I1044" s="1"/>
  <c r="L1044" s="1"/>
  <c r="N1043"/>
  <c r="M1043"/>
  <c r="L1043"/>
  <c r="K1043"/>
  <c r="J1043"/>
  <c r="I1043"/>
  <c r="H1043"/>
  <c r="N1042"/>
  <c r="M1042"/>
  <c r="K1042"/>
  <c r="I1042"/>
  <c r="L1042" s="1"/>
  <c r="H1042"/>
  <c r="J1042" s="1"/>
  <c r="N1041"/>
  <c r="K1041"/>
  <c r="J1041"/>
  <c r="M1041" s="1"/>
  <c r="I1041"/>
  <c r="L1041" s="1"/>
  <c r="H1041"/>
  <c r="L1040"/>
  <c r="K1040"/>
  <c r="N1040" s="1"/>
  <c r="J1040"/>
  <c r="M1040" s="1"/>
  <c r="I1040"/>
  <c r="H1040"/>
  <c r="K1039"/>
  <c r="N1039" s="1"/>
  <c r="J1039"/>
  <c r="M1039" s="1"/>
  <c r="H1039"/>
  <c r="I1039" s="1"/>
  <c r="L1039" s="1"/>
  <c r="L1038"/>
  <c r="K1038"/>
  <c r="N1038" s="1"/>
  <c r="J1038"/>
  <c r="M1038" s="1"/>
  <c r="I1038"/>
  <c r="H1038"/>
  <c r="H1037"/>
  <c r="H1036"/>
  <c r="N1035"/>
  <c r="L1035"/>
  <c r="J1035"/>
  <c r="M1035" s="1"/>
  <c r="I1035"/>
  <c r="H1035"/>
  <c r="K1035" s="1"/>
  <c r="K1034"/>
  <c r="N1034" s="1"/>
  <c r="J1034"/>
  <c r="M1034" s="1"/>
  <c r="H1034"/>
  <c r="I1034" s="1"/>
  <c r="L1034" s="1"/>
  <c r="M1033"/>
  <c r="L1033"/>
  <c r="K1033"/>
  <c r="N1033" s="1"/>
  <c r="J1033"/>
  <c r="I1033"/>
  <c r="H1033"/>
  <c r="L1032"/>
  <c r="K1032"/>
  <c r="N1032" s="1"/>
  <c r="J1032"/>
  <c r="M1032" s="1"/>
  <c r="I1032"/>
  <c r="H1032"/>
  <c r="M1031"/>
  <c r="J1031"/>
  <c r="H1031"/>
  <c r="I1031" s="1"/>
  <c r="L1031" s="1"/>
  <c r="N1030"/>
  <c r="J1030"/>
  <c r="M1030" s="1"/>
  <c r="I1030"/>
  <c r="L1030" s="1"/>
  <c r="H1030"/>
  <c r="K1030" s="1"/>
  <c r="I1029"/>
  <c r="L1029" s="1"/>
  <c r="H1029"/>
  <c r="H1028"/>
  <c r="N1027"/>
  <c r="M1027"/>
  <c r="L1027"/>
  <c r="K1027"/>
  <c r="J1027"/>
  <c r="I1027"/>
  <c r="H1027"/>
  <c r="N1026"/>
  <c r="M1026"/>
  <c r="L1026"/>
  <c r="K1026"/>
  <c r="J1026"/>
  <c r="I1026"/>
  <c r="H1026"/>
  <c r="K1025"/>
  <c r="N1025" s="1"/>
  <c r="H1025"/>
  <c r="I1025" s="1"/>
  <c r="L1025" s="1"/>
  <c r="H1024"/>
  <c r="I1024" s="1"/>
  <c r="L1024" s="1"/>
  <c r="K1023"/>
  <c r="N1023" s="1"/>
  <c r="J1023"/>
  <c r="M1023" s="1"/>
  <c r="I1023"/>
  <c r="L1023" s="1"/>
  <c r="H1023"/>
  <c r="J1022"/>
  <c r="M1022" s="1"/>
  <c r="I1022"/>
  <c r="L1022" s="1"/>
  <c r="H1022"/>
  <c r="K1022" s="1"/>
  <c r="N1022" s="1"/>
  <c r="K1021"/>
  <c r="N1021" s="1"/>
  <c r="J1021"/>
  <c r="M1021" s="1"/>
  <c r="I1021"/>
  <c r="L1021" s="1"/>
  <c r="H1021"/>
  <c r="H1020"/>
  <c r="I1020" s="1"/>
  <c r="L1020" s="1"/>
  <c r="N1019"/>
  <c r="M1019"/>
  <c r="L1019"/>
  <c r="K1019"/>
  <c r="J1019"/>
  <c r="I1019"/>
  <c r="H1019"/>
  <c r="N1018"/>
  <c r="M1018"/>
  <c r="K1018"/>
  <c r="I1018"/>
  <c r="L1018" s="1"/>
  <c r="H1018"/>
  <c r="J1018" s="1"/>
  <c r="N1017"/>
  <c r="K1017"/>
  <c r="J1017"/>
  <c r="M1017" s="1"/>
  <c r="I1017"/>
  <c r="L1017" s="1"/>
  <c r="H1017"/>
  <c r="L1016"/>
  <c r="K1016"/>
  <c r="N1016" s="1"/>
  <c r="J1016"/>
  <c r="M1016" s="1"/>
  <c r="I1016"/>
  <c r="H1016"/>
  <c r="K1015"/>
  <c r="N1015" s="1"/>
  <c r="J1015"/>
  <c r="M1015" s="1"/>
  <c r="H1015"/>
  <c r="I1015" s="1"/>
  <c r="L1015" s="1"/>
  <c r="L1014"/>
  <c r="K1014"/>
  <c r="N1014" s="1"/>
  <c r="J1014"/>
  <c r="M1014" s="1"/>
  <c r="I1014"/>
  <c r="H1014"/>
  <c r="H1013"/>
  <c r="H1012"/>
  <c r="N1011"/>
  <c r="L1011"/>
  <c r="J1011"/>
  <c r="M1011" s="1"/>
  <c r="I1011"/>
  <c r="H1011"/>
  <c r="K1011" s="1"/>
  <c r="K1010"/>
  <c r="N1010" s="1"/>
  <c r="J1010"/>
  <c r="M1010" s="1"/>
  <c r="H1010"/>
  <c r="I1010" s="1"/>
  <c r="L1010" s="1"/>
  <c r="M1009"/>
  <c r="L1009"/>
  <c r="K1009"/>
  <c r="N1009" s="1"/>
  <c r="J1009"/>
  <c r="I1009"/>
  <c r="H1009"/>
  <c r="L1008"/>
  <c r="K1008"/>
  <c r="N1008" s="1"/>
  <c r="J1008"/>
  <c r="M1008" s="1"/>
  <c r="I1008"/>
  <c r="H1008"/>
  <c r="J1007"/>
  <c r="M1007" s="1"/>
  <c r="H1007"/>
  <c r="I1007" s="1"/>
  <c r="L1007" s="1"/>
  <c r="N1006"/>
  <c r="J1006"/>
  <c r="M1006" s="1"/>
  <c r="I1006"/>
  <c r="L1006" s="1"/>
  <c r="H1006"/>
  <c r="K1006" s="1"/>
  <c r="I1005"/>
  <c r="L1005" s="1"/>
  <c r="H1005"/>
  <c r="H1004"/>
  <c r="N1003"/>
  <c r="M1003"/>
  <c r="L1003"/>
  <c r="K1003"/>
  <c r="J1003"/>
  <c r="I1003"/>
  <c r="H1003"/>
  <c r="N1002"/>
  <c r="M1002"/>
  <c r="L1002"/>
  <c r="K1002"/>
  <c r="J1002"/>
  <c r="I1002"/>
  <c r="H1002"/>
  <c r="K1001"/>
  <c r="N1001" s="1"/>
  <c r="H1001"/>
  <c r="I1001" s="1"/>
  <c r="L1001" s="1"/>
  <c r="H1000"/>
  <c r="I1000" s="1"/>
  <c r="L1000" s="1"/>
  <c r="K999"/>
  <c r="N999" s="1"/>
  <c r="J999"/>
  <c r="M999" s="1"/>
  <c r="I999"/>
  <c r="L999" s="1"/>
  <c r="H999"/>
  <c r="J998"/>
  <c r="M998" s="1"/>
  <c r="I998"/>
  <c r="L998" s="1"/>
  <c r="H998"/>
  <c r="K998" s="1"/>
  <c r="N998" s="1"/>
  <c r="K997"/>
  <c r="N997" s="1"/>
  <c r="J997"/>
  <c r="M997" s="1"/>
  <c r="I997"/>
  <c r="L997" s="1"/>
  <c r="H997"/>
  <c r="H996"/>
  <c r="I996" s="1"/>
  <c r="L996" s="1"/>
  <c r="N995"/>
  <c r="M995"/>
  <c r="L995"/>
  <c r="K995"/>
  <c r="J995"/>
  <c r="I995"/>
  <c r="H995"/>
  <c r="N994"/>
  <c r="M994"/>
  <c r="K994"/>
  <c r="I994"/>
  <c r="L994" s="1"/>
  <c r="H994"/>
  <c r="J994" s="1"/>
  <c r="N993"/>
  <c r="K993"/>
  <c r="J993"/>
  <c r="M993" s="1"/>
  <c r="I993"/>
  <c r="L993" s="1"/>
  <c r="H993"/>
  <c r="L992"/>
  <c r="K992"/>
  <c r="N992" s="1"/>
  <c r="J992"/>
  <c r="M992" s="1"/>
  <c r="I992"/>
  <c r="H992"/>
  <c r="K991"/>
  <c r="N991" s="1"/>
  <c r="J991"/>
  <c r="M991" s="1"/>
  <c r="H991"/>
  <c r="I991" s="1"/>
  <c r="L991" s="1"/>
  <c r="L990"/>
  <c r="K990"/>
  <c r="N990" s="1"/>
  <c r="J990"/>
  <c r="M990" s="1"/>
  <c r="I990"/>
  <c r="H990"/>
  <c r="H989"/>
  <c r="H988"/>
  <c r="N987"/>
  <c r="L987"/>
  <c r="J987"/>
  <c r="M987" s="1"/>
  <c r="I987"/>
  <c r="H987"/>
  <c r="K987" s="1"/>
  <c r="K986"/>
  <c r="N986" s="1"/>
  <c r="J986"/>
  <c r="M986" s="1"/>
  <c r="H986"/>
  <c r="I986" s="1"/>
  <c r="L986" s="1"/>
  <c r="M985"/>
  <c r="L985"/>
  <c r="K985"/>
  <c r="N985" s="1"/>
  <c r="J985"/>
  <c r="I985"/>
  <c r="H985"/>
  <c r="L984"/>
  <c r="K984"/>
  <c r="N984" s="1"/>
  <c r="J984"/>
  <c r="M984" s="1"/>
  <c r="I984"/>
  <c r="H984"/>
  <c r="J983"/>
  <c r="M983" s="1"/>
  <c r="H983"/>
  <c r="I983" s="1"/>
  <c r="L983" s="1"/>
  <c r="N982"/>
  <c r="J982"/>
  <c r="M982" s="1"/>
  <c r="I982"/>
  <c r="L982" s="1"/>
  <c r="H982"/>
  <c r="K982" s="1"/>
  <c r="I981"/>
  <c r="L981" s="1"/>
  <c r="H981"/>
  <c r="H980"/>
  <c r="N979"/>
  <c r="L979"/>
  <c r="K979"/>
  <c r="I979"/>
  <c r="H979"/>
  <c r="J979" s="1"/>
  <c r="M979" s="1"/>
  <c r="N978"/>
  <c r="M978"/>
  <c r="L978"/>
  <c r="K978"/>
  <c r="J978"/>
  <c r="I978"/>
  <c r="H978"/>
  <c r="L977"/>
  <c r="H977"/>
  <c r="I977" s="1"/>
  <c r="M976"/>
  <c r="L976"/>
  <c r="I976"/>
  <c r="H976"/>
  <c r="J976" s="1"/>
  <c r="K975"/>
  <c r="N975" s="1"/>
  <c r="J975"/>
  <c r="M975" s="1"/>
  <c r="I975"/>
  <c r="L975" s="1"/>
  <c r="H975"/>
  <c r="J974"/>
  <c r="M974" s="1"/>
  <c r="I974"/>
  <c r="L974" s="1"/>
  <c r="H974"/>
  <c r="K974" s="1"/>
  <c r="N974" s="1"/>
  <c r="L973"/>
  <c r="I973"/>
  <c r="H973"/>
  <c r="J973" s="1"/>
  <c r="M973" s="1"/>
  <c r="L972"/>
  <c r="H972"/>
  <c r="I972" s="1"/>
  <c r="N971"/>
  <c r="M971"/>
  <c r="L971"/>
  <c r="K971"/>
  <c r="J971"/>
  <c r="I971"/>
  <c r="H971"/>
  <c r="M970"/>
  <c r="K970"/>
  <c r="N970" s="1"/>
  <c r="I970"/>
  <c r="L970" s="1"/>
  <c r="H970"/>
  <c r="J970" s="1"/>
  <c r="N969"/>
  <c r="M969"/>
  <c r="L969"/>
  <c r="K969"/>
  <c r="J969"/>
  <c r="I969"/>
  <c r="H969"/>
  <c r="L968"/>
  <c r="K968"/>
  <c r="N968" s="1"/>
  <c r="J968"/>
  <c r="M968" s="1"/>
  <c r="I968"/>
  <c r="H968"/>
  <c r="K967"/>
  <c r="N967" s="1"/>
  <c r="I967"/>
  <c r="L967" s="1"/>
  <c r="H967"/>
  <c r="J967" s="1"/>
  <c r="M967" s="1"/>
  <c r="K966"/>
  <c r="N966" s="1"/>
  <c r="J966"/>
  <c r="M966" s="1"/>
  <c r="I966"/>
  <c r="L966" s="1"/>
  <c r="H966"/>
  <c r="H965"/>
  <c r="H964"/>
  <c r="N963"/>
  <c r="I963"/>
  <c r="L963" s="1"/>
  <c r="H963"/>
  <c r="K963" s="1"/>
  <c r="N962"/>
  <c r="M962"/>
  <c r="K962"/>
  <c r="J962"/>
  <c r="H962"/>
  <c r="I962" s="1"/>
  <c r="L962" s="1"/>
  <c r="M961"/>
  <c r="L961"/>
  <c r="K961"/>
  <c r="N961" s="1"/>
  <c r="J961"/>
  <c r="I961"/>
  <c r="H961"/>
  <c r="L960"/>
  <c r="K960"/>
  <c r="N960" s="1"/>
  <c r="J960"/>
  <c r="M960" s="1"/>
  <c r="I960"/>
  <c r="H960"/>
  <c r="M959"/>
  <c r="L959"/>
  <c r="K959"/>
  <c r="N959" s="1"/>
  <c r="J959"/>
  <c r="H959"/>
  <c r="I959" s="1"/>
  <c r="N958"/>
  <c r="J958"/>
  <c r="M958" s="1"/>
  <c r="I958"/>
  <c r="L958" s="1"/>
  <c r="H958"/>
  <c r="K958" s="1"/>
  <c r="I957"/>
  <c r="L957" s="1"/>
  <c r="H957"/>
  <c r="N956"/>
  <c r="K956"/>
  <c r="J956"/>
  <c r="M956" s="1"/>
  <c r="H956"/>
  <c r="I956" s="1"/>
  <c r="L956" s="1"/>
  <c r="M955"/>
  <c r="L955"/>
  <c r="K955"/>
  <c r="N955" s="1"/>
  <c r="J955"/>
  <c r="I955"/>
  <c r="H955"/>
  <c r="N954"/>
  <c r="M954"/>
  <c r="L954"/>
  <c r="K954"/>
  <c r="J954"/>
  <c r="I954"/>
  <c r="H954"/>
  <c r="L953"/>
  <c r="H953"/>
  <c r="I953" s="1"/>
  <c r="M952"/>
  <c r="L952"/>
  <c r="I952"/>
  <c r="H952"/>
  <c r="J952" s="1"/>
  <c r="K951"/>
  <c r="N951" s="1"/>
  <c r="J951"/>
  <c r="M951" s="1"/>
  <c r="I951"/>
  <c r="L951" s="1"/>
  <c r="H951"/>
  <c r="H950"/>
  <c r="K950" s="1"/>
  <c r="N950" s="1"/>
  <c r="L949"/>
  <c r="I949"/>
  <c r="H949"/>
  <c r="J949" s="1"/>
  <c r="M949" s="1"/>
  <c r="L948"/>
  <c r="H948"/>
  <c r="I948" s="1"/>
  <c r="N947"/>
  <c r="M947"/>
  <c r="L947"/>
  <c r="K947"/>
  <c r="J947"/>
  <c r="I947"/>
  <c r="H947"/>
  <c r="L946"/>
  <c r="K946"/>
  <c r="N946" s="1"/>
  <c r="I946"/>
  <c r="H946"/>
  <c r="J946" s="1"/>
  <c r="M946" s="1"/>
  <c r="N945"/>
  <c r="M945"/>
  <c r="L945"/>
  <c r="K945"/>
  <c r="J945"/>
  <c r="I945"/>
  <c r="H945"/>
  <c r="L944"/>
  <c r="K944"/>
  <c r="N944" s="1"/>
  <c r="J944"/>
  <c r="M944" s="1"/>
  <c r="I944"/>
  <c r="H944"/>
  <c r="K943"/>
  <c r="N943" s="1"/>
  <c r="I943"/>
  <c r="L943" s="1"/>
  <c r="H943"/>
  <c r="J943" s="1"/>
  <c r="M943" s="1"/>
  <c r="K942"/>
  <c r="N942" s="1"/>
  <c r="J942"/>
  <c r="M942" s="1"/>
  <c r="I942"/>
  <c r="L942" s="1"/>
  <c r="H942"/>
  <c r="H941"/>
  <c r="H940"/>
  <c r="N939"/>
  <c r="I939"/>
  <c r="L939" s="1"/>
  <c r="H939"/>
  <c r="K939" s="1"/>
  <c r="N938"/>
  <c r="M938"/>
  <c r="K938"/>
  <c r="J938"/>
  <c r="H938"/>
  <c r="I938" s="1"/>
  <c r="L938" s="1"/>
  <c r="M937"/>
  <c r="L937"/>
  <c r="K937"/>
  <c r="N937" s="1"/>
  <c r="J937"/>
  <c r="I937"/>
  <c r="H937"/>
  <c r="L936"/>
  <c r="K936"/>
  <c r="N936" s="1"/>
  <c r="J936"/>
  <c r="M936" s="1"/>
  <c r="I936"/>
  <c r="H936"/>
  <c r="M935"/>
  <c r="L935"/>
  <c r="K935"/>
  <c r="N935" s="1"/>
  <c r="J935"/>
  <c r="H935"/>
  <c r="I935" s="1"/>
  <c r="N934"/>
  <c r="J934"/>
  <c r="M934" s="1"/>
  <c r="I934"/>
  <c r="L934" s="1"/>
  <c r="H934"/>
  <c r="K934" s="1"/>
  <c r="I933"/>
  <c r="L933" s="1"/>
  <c r="H933"/>
  <c r="N932"/>
  <c r="K932"/>
  <c r="J932"/>
  <c r="M932" s="1"/>
  <c r="H932"/>
  <c r="I932" s="1"/>
  <c r="L932" s="1"/>
  <c r="M931"/>
  <c r="L931"/>
  <c r="K931"/>
  <c r="N931" s="1"/>
  <c r="J931"/>
  <c r="I931"/>
  <c r="H931"/>
  <c r="N930"/>
  <c r="M930"/>
  <c r="L930"/>
  <c r="K930"/>
  <c r="J930"/>
  <c r="I930"/>
  <c r="H930"/>
  <c r="H929"/>
  <c r="I929" s="1"/>
  <c r="L929" s="1"/>
  <c r="M928"/>
  <c r="L928"/>
  <c r="I928"/>
  <c r="H928"/>
  <c r="J928" s="1"/>
  <c r="K927"/>
  <c r="N927" s="1"/>
  <c r="J927"/>
  <c r="M927" s="1"/>
  <c r="I927"/>
  <c r="L927" s="1"/>
  <c r="H927"/>
  <c r="J926"/>
  <c r="M926" s="1"/>
  <c r="I926"/>
  <c r="L926" s="1"/>
  <c r="H926"/>
  <c r="K926" s="1"/>
  <c r="N926" s="1"/>
  <c r="I925"/>
  <c r="L925" s="1"/>
  <c r="H925"/>
  <c r="J925" s="1"/>
  <c r="M925" s="1"/>
  <c r="L924"/>
  <c r="H924"/>
  <c r="I924" s="1"/>
  <c r="N923"/>
  <c r="M923"/>
  <c r="L923"/>
  <c r="K923"/>
  <c r="J923"/>
  <c r="I923"/>
  <c r="H923"/>
  <c r="M922"/>
  <c r="H922"/>
  <c r="J922" s="1"/>
  <c r="N921"/>
  <c r="M921"/>
  <c r="L921"/>
  <c r="K921"/>
  <c r="J921"/>
  <c r="I921"/>
  <c r="H921"/>
  <c r="K920"/>
  <c r="N920" s="1"/>
  <c r="J920"/>
  <c r="M920" s="1"/>
  <c r="H920"/>
  <c r="I920" s="1"/>
  <c r="L920" s="1"/>
  <c r="K919"/>
  <c r="N919" s="1"/>
  <c r="J919"/>
  <c r="M919" s="1"/>
  <c r="I919"/>
  <c r="L919" s="1"/>
  <c r="H919"/>
  <c r="M918"/>
  <c r="L918"/>
  <c r="K918"/>
  <c r="N918" s="1"/>
  <c r="J918"/>
  <c r="I918"/>
  <c r="H918"/>
  <c r="H917"/>
  <c r="H916"/>
  <c r="N915"/>
  <c r="M915"/>
  <c r="L915"/>
  <c r="J915"/>
  <c r="I915"/>
  <c r="H915"/>
  <c r="K915" s="1"/>
  <c r="N914"/>
  <c r="M914"/>
  <c r="L914"/>
  <c r="K914"/>
  <c r="J914"/>
  <c r="I914"/>
  <c r="H914"/>
  <c r="M913"/>
  <c r="L913"/>
  <c r="K913"/>
  <c r="N913" s="1"/>
  <c r="J913"/>
  <c r="I913"/>
  <c r="H913"/>
  <c r="L912"/>
  <c r="K912"/>
  <c r="N912" s="1"/>
  <c r="J912"/>
  <c r="M912" s="1"/>
  <c r="I912"/>
  <c r="H912"/>
  <c r="N911"/>
  <c r="M911"/>
  <c r="L911"/>
  <c r="K911"/>
  <c r="J911"/>
  <c r="H911"/>
  <c r="I911" s="1"/>
  <c r="N910"/>
  <c r="J910"/>
  <c r="M910" s="1"/>
  <c r="I910"/>
  <c r="L910" s="1"/>
  <c r="H910"/>
  <c r="K910" s="1"/>
  <c r="I909"/>
  <c r="L909" s="1"/>
  <c r="H909"/>
  <c r="N908"/>
  <c r="K908"/>
  <c r="J908"/>
  <c r="M908" s="1"/>
  <c r="H908"/>
  <c r="I908" s="1"/>
  <c r="L908" s="1"/>
  <c r="M907"/>
  <c r="L907"/>
  <c r="K907"/>
  <c r="N907" s="1"/>
  <c r="J907"/>
  <c r="I907"/>
  <c r="H907"/>
  <c r="N906"/>
  <c r="M906"/>
  <c r="K906"/>
  <c r="J906"/>
  <c r="H906"/>
  <c r="I906" s="1"/>
  <c r="L906" s="1"/>
  <c r="M905"/>
  <c r="L905"/>
  <c r="K905"/>
  <c r="N905" s="1"/>
  <c r="J905"/>
  <c r="H905"/>
  <c r="I905" s="1"/>
  <c r="M904"/>
  <c r="K904"/>
  <c r="N904" s="1"/>
  <c r="I904"/>
  <c r="L904" s="1"/>
  <c r="H904"/>
  <c r="J904" s="1"/>
  <c r="K903"/>
  <c r="N903" s="1"/>
  <c r="J903"/>
  <c r="M903" s="1"/>
  <c r="I903"/>
  <c r="L903" s="1"/>
  <c r="H903"/>
  <c r="J902"/>
  <c r="M902" s="1"/>
  <c r="I902"/>
  <c r="L902" s="1"/>
  <c r="H902"/>
  <c r="K902" s="1"/>
  <c r="N902" s="1"/>
  <c r="N901"/>
  <c r="L901"/>
  <c r="K901"/>
  <c r="J901"/>
  <c r="M901" s="1"/>
  <c r="I901"/>
  <c r="H901"/>
  <c r="L900"/>
  <c r="H900"/>
  <c r="I900" s="1"/>
  <c r="N899"/>
  <c r="M899"/>
  <c r="L899"/>
  <c r="K899"/>
  <c r="J899"/>
  <c r="I899"/>
  <c r="H899"/>
  <c r="K898"/>
  <c r="N898" s="1"/>
  <c r="I898"/>
  <c r="L898" s="1"/>
  <c r="H898"/>
  <c r="J898" s="1"/>
  <c r="M898" s="1"/>
  <c r="N897"/>
  <c r="M897"/>
  <c r="L897"/>
  <c r="K897"/>
  <c r="J897"/>
  <c r="I897"/>
  <c r="H897"/>
  <c r="K896"/>
  <c r="N896" s="1"/>
  <c r="J896"/>
  <c r="M896" s="1"/>
  <c r="H896"/>
  <c r="I896" s="1"/>
  <c r="L896" s="1"/>
  <c r="K895"/>
  <c r="N895" s="1"/>
  <c r="J895"/>
  <c r="M895" s="1"/>
  <c r="I895"/>
  <c r="L895" s="1"/>
  <c r="H895"/>
  <c r="M894"/>
  <c r="L894"/>
  <c r="K894"/>
  <c r="N894" s="1"/>
  <c r="J894"/>
  <c r="I894"/>
  <c r="H894"/>
  <c r="H893"/>
  <c r="H892"/>
  <c r="M891"/>
  <c r="L891"/>
  <c r="J891"/>
  <c r="I891"/>
  <c r="H891"/>
  <c r="K891" s="1"/>
  <c r="N891" s="1"/>
  <c r="L890"/>
  <c r="K890"/>
  <c r="N890" s="1"/>
  <c r="J890"/>
  <c r="M890" s="1"/>
  <c r="I890"/>
  <c r="H890"/>
  <c r="M889"/>
  <c r="L889"/>
  <c r="K889"/>
  <c r="N889" s="1"/>
  <c r="J889"/>
  <c r="I889"/>
  <c r="H889"/>
  <c r="K888"/>
  <c r="N888" s="1"/>
  <c r="J888"/>
  <c r="M888" s="1"/>
  <c r="I888"/>
  <c r="L888" s="1"/>
  <c r="H888"/>
  <c r="J887"/>
  <c r="M887" s="1"/>
  <c r="H887"/>
  <c r="I887" s="1"/>
  <c r="L887" s="1"/>
  <c r="J886"/>
  <c r="M886" s="1"/>
  <c r="I886"/>
  <c r="L886" s="1"/>
  <c r="H886"/>
  <c r="K886" s="1"/>
  <c r="N886" s="1"/>
  <c r="I885"/>
  <c r="L885" s="1"/>
  <c r="H885"/>
  <c r="K884"/>
  <c r="N884" s="1"/>
  <c r="I884"/>
  <c r="L884" s="1"/>
  <c r="H884"/>
  <c r="J884" s="1"/>
  <c r="M884" s="1"/>
  <c r="M883"/>
  <c r="L883"/>
  <c r="K883"/>
  <c r="N883" s="1"/>
  <c r="J883"/>
  <c r="I883"/>
  <c r="H883"/>
  <c r="N882"/>
  <c r="M882"/>
  <c r="K882"/>
  <c r="J882"/>
  <c r="H882"/>
  <c r="I882" s="1"/>
  <c r="L882" s="1"/>
  <c r="K881"/>
  <c r="N881" s="1"/>
  <c r="J881"/>
  <c r="M881" s="1"/>
  <c r="H881"/>
  <c r="I881" s="1"/>
  <c r="L881" s="1"/>
  <c r="N880"/>
  <c r="K880"/>
  <c r="H880"/>
  <c r="J880" s="1"/>
  <c r="M880" s="1"/>
  <c r="K879"/>
  <c r="N879" s="1"/>
  <c r="J879"/>
  <c r="M879" s="1"/>
  <c r="I879"/>
  <c r="L879" s="1"/>
  <c r="H879"/>
  <c r="H878"/>
  <c r="K878" s="1"/>
  <c r="N878" s="1"/>
  <c r="N877"/>
  <c r="L877"/>
  <c r="K877"/>
  <c r="J877"/>
  <c r="M877" s="1"/>
  <c r="I877"/>
  <c r="H877"/>
  <c r="H876"/>
  <c r="I876" s="1"/>
  <c r="L876" s="1"/>
  <c r="N875"/>
  <c r="M875"/>
  <c r="L875"/>
  <c r="K875"/>
  <c r="J875"/>
  <c r="I875"/>
  <c r="H875"/>
  <c r="H874"/>
  <c r="N873"/>
  <c r="M873"/>
  <c r="L873"/>
  <c r="K873"/>
  <c r="J873"/>
  <c r="I873"/>
  <c r="H873"/>
  <c r="K872"/>
  <c r="N872" s="1"/>
  <c r="J872"/>
  <c r="M872" s="1"/>
  <c r="H872"/>
  <c r="I872" s="1"/>
  <c r="L872" s="1"/>
  <c r="K871"/>
  <c r="N871" s="1"/>
  <c r="J871"/>
  <c r="M871" s="1"/>
  <c r="I871"/>
  <c r="L871" s="1"/>
  <c r="H871"/>
  <c r="M870"/>
  <c r="K870"/>
  <c r="N870" s="1"/>
  <c r="J870"/>
  <c r="I870"/>
  <c r="L870" s="1"/>
  <c r="H870"/>
  <c r="H869"/>
  <c r="H868"/>
  <c r="L867"/>
  <c r="J867"/>
  <c r="M867" s="1"/>
  <c r="I867"/>
  <c r="H867"/>
  <c r="K867" s="1"/>
  <c r="N867" s="1"/>
  <c r="N866"/>
  <c r="M866"/>
  <c r="L866"/>
  <c r="K866"/>
  <c r="J866"/>
  <c r="I866"/>
  <c r="H866"/>
  <c r="M865"/>
  <c r="L865"/>
  <c r="K865"/>
  <c r="N865" s="1"/>
  <c r="J865"/>
  <c r="I865"/>
  <c r="H865"/>
  <c r="L864"/>
  <c r="K864"/>
  <c r="N864" s="1"/>
  <c r="J864"/>
  <c r="M864" s="1"/>
  <c r="I864"/>
  <c r="H864"/>
  <c r="L863"/>
  <c r="K863"/>
  <c r="N863" s="1"/>
  <c r="J863"/>
  <c r="M863" s="1"/>
  <c r="H863"/>
  <c r="I863" s="1"/>
  <c r="N862"/>
  <c r="J862"/>
  <c r="M862" s="1"/>
  <c r="I862"/>
  <c r="L862" s="1"/>
  <c r="H862"/>
  <c r="K862" s="1"/>
  <c r="I861"/>
  <c r="L861" s="1"/>
  <c r="H861"/>
  <c r="N860"/>
  <c r="K860"/>
  <c r="I860"/>
  <c r="L860" s="1"/>
  <c r="H860"/>
  <c r="J860" s="1"/>
  <c r="M860" s="1"/>
  <c r="N859"/>
  <c r="M859"/>
  <c r="K859"/>
  <c r="J859"/>
  <c r="H859"/>
  <c r="I859" s="1"/>
  <c r="L859" s="1"/>
  <c r="N858"/>
  <c r="M858"/>
  <c r="K858"/>
  <c r="J858"/>
  <c r="H858"/>
  <c r="I858" s="1"/>
  <c r="L858" s="1"/>
  <c r="M857"/>
  <c r="L857"/>
  <c r="K857"/>
  <c r="N857" s="1"/>
  <c r="J857"/>
  <c r="H857"/>
  <c r="I857" s="1"/>
  <c r="N856"/>
  <c r="M856"/>
  <c r="L856"/>
  <c r="K856"/>
  <c r="I856"/>
  <c r="H856"/>
  <c r="J856" s="1"/>
  <c r="K855"/>
  <c r="N855" s="1"/>
  <c r="J855"/>
  <c r="M855" s="1"/>
  <c r="I855"/>
  <c r="L855" s="1"/>
  <c r="H855"/>
  <c r="H854"/>
  <c r="K854" s="1"/>
  <c r="N854" s="1"/>
  <c r="K853"/>
  <c r="N853" s="1"/>
  <c r="J853"/>
  <c r="M853" s="1"/>
  <c r="H853"/>
  <c r="I853" s="1"/>
  <c r="L853" s="1"/>
  <c r="H852"/>
  <c r="I852" s="1"/>
  <c r="L852" s="1"/>
  <c r="N851"/>
  <c r="M851"/>
  <c r="L851"/>
  <c r="K851"/>
  <c r="J851"/>
  <c r="I851"/>
  <c r="H851"/>
  <c r="M850"/>
  <c r="K850"/>
  <c r="N850" s="1"/>
  <c r="I850"/>
  <c r="L850" s="1"/>
  <c r="H850"/>
  <c r="J850" s="1"/>
  <c r="N849"/>
  <c r="L849"/>
  <c r="K849"/>
  <c r="J849"/>
  <c r="M849" s="1"/>
  <c r="I849"/>
  <c r="H849"/>
  <c r="K848"/>
  <c r="N848" s="1"/>
  <c r="H848"/>
  <c r="I848" s="1"/>
  <c r="L848" s="1"/>
  <c r="K847"/>
  <c r="N847" s="1"/>
  <c r="J847"/>
  <c r="M847" s="1"/>
  <c r="I847"/>
  <c r="L847" s="1"/>
  <c r="H847"/>
  <c r="M846"/>
  <c r="L846"/>
  <c r="K846"/>
  <c r="N846" s="1"/>
  <c r="J846"/>
  <c r="I846"/>
  <c r="H846"/>
  <c r="H845"/>
  <c r="H844"/>
  <c r="I843"/>
  <c r="L843" s="1"/>
  <c r="H843"/>
  <c r="K843" s="1"/>
  <c r="N843" s="1"/>
  <c r="N842"/>
  <c r="M842"/>
  <c r="L842"/>
  <c r="K842"/>
  <c r="J842"/>
  <c r="I842"/>
  <c r="H842"/>
  <c r="M841"/>
  <c r="L841"/>
  <c r="K841"/>
  <c r="N841" s="1"/>
  <c r="J841"/>
  <c r="I841"/>
  <c r="H841"/>
  <c r="K840"/>
  <c r="N840" s="1"/>
  <c r="J840"/>
  <c r="M840" s="1"/>
  <c r="I840"/>
  <c r="L840" s="1"/>
  <c r="H840"/>
  <c r="K839"/>
  <c r="N839" s="1"/>
  <c r="J839"/>
  <c r="M839" s="1"/>
  <c r="H839"/>
  <c r="I839" s="1"/>
  <c r="L839" s="1"/>
  <c r="J838"/>
  <c r="M838" s="1"/>
  <c r="I838"/>
  <c r="L838" s="1"/>
  <c r="H838"/>
  <c r="K838" s="1"/>
  <c r="N838" s="1"/>
  <c r="I837"/>
  <c r="L837" s="1"/>
  <c r="H837"/>
  <c r="K836"/>
  <c r="N836" s="1"/>
  <c r="J836"/>
  <c r="M836" s="1"/>
  <c r="I836"/>
  <c r="L836" s="1"/>
  <c r="H836"/>
  <c r="N835"/>
  <c r="M835"/>
  <c r="L835"/>
  <c r="K835"/>
  <c r="J835"/>
  <c r="H835"/>
  <c r="I835" s="1"/>
  <c r="M834"/>
  <c r="J834"/>
  <c r="H834"/>
  <c r="I834" s="1"/>
  <c r="L834" s="1"/>
  <c r="M833"/>
  <c r="L833"/>
  <c r="K833"/>
  <c r="N833" s="1"/>
  <c r="J833"/>
  <c r="H833"/>
  <c r="I833" s="1"/>
  <c r="M832"/>
  <c r="L832"/>
  <c r="K832"/>
  <c r="N832" s="1"/>
  <c r="I832"/>
  <c r="H832"/>
  <c r="J832" s="1"/>
  <c r="K831"/>
  <c r="N831" s="1"/>
  <c r="J831"/>
  <c r="M831" s="1"/>
  <c r="I831"/>
  <c r="L831" s="1"/>
  <c r="H831"/>
  <c r="J830"/>
  <c r="M830" s="1"/>
  <c r="H830"/>
  <c r="K830" s="1"/>
  <c r="N830" s="1"/>
  <c r="K829"/>
  <c r="N829" s="1"/>
  <c r="H829"/>
  <c r="I829" s="1"/>
  <c r="L829" s="1"/>
  <c r="L828"/>
  <c r="H828"/>
  <c r="I828" s="1"/>
  <c r="N827"/>
  <c r="M827"/>
  <c r="L827"/>
  <c r="K827"/>
  <c r="J827"/>
  <c r="I827"/>
  <c r="H827"/>
  <c r="M826"/>
  <c r="K826"/>
  <c r="N826" s="1"/>
  <c r="H826"/>
  <c r="J826" s="1"/>
  <c r="N825"/>
  <c r="M825"/>
  <c r="L825"/>
  <c r="K825"/>
  <c r="J825"/>
  <c r="I825"/>
  <c r="H825"/>
  <c r="K824"/>
  <c r="N824" s="1"/>
  <c r="H824"/>
  <c r="I824" s="1"/>
  <c r="L824" s="1"/>
  <c r="K823"/>
  <c r="N823" s="1"/>
  <c r="J823"/>
  <c r="M823" s="1"/>
  <c r="H823"/>
  <c r="I823" s="1"/>
  <c r="L823" s="1"/>
  <c r="L822"/>
  <c r="K822"/>
  <c r="N822" s="1"/>
  <c r="J822"/>
  <c r="M822" s="1"/>
  <c r="I822"/>
  <c r="H822"/>
  <c r="H821"/>
  <c r="H820"/>
  <c r="N819"/>
  <c r="L819"/>
  <c r="I819"/>
  <c r="H819"/>
  <c r="K819" s="1"/>
  <c r="L818"/>
  <c r="K818"/>
  <c r="N818" s="1"/>
  <c r="J818"/>
  <c r="M818" s="1"/>
  <c r="I818"/>
  <c r="H818"/>
  <c r="M817"/>
  <c r="L817"/>
  <c r="K817"/>
  <c r="N817" s="1"/>
  <c r="J817"/>
  <c r="I817"/>
  <c r="H817"/>
  <c r="K816"/>
  <c r="N816" s="1"/>
  <c r="J816"/>
  <c r="M816" s="1"/>
  <c r="I816"/>
  <c r="L816" s="1"/>
  <c r="H816"/>
  <c r="L815"/>
  <c r="J815"/>
  <c r="M815" s="1"/>
  <c r="H815"/>
  <c r="I815" s="1"/>
  <c r="J814"/>
  <c r="M814" s="1"/>
  <c r="I814"/>
  <c r="L814" s="1"/>
  <c r="H814"/>
  <c r="K814" s="1"/>
  <c r="N814" s="1"/>
  <c r="I813"/>
  <c r="L813" s="1"/>
  <c r="H813"/>
  <c r="N812"/>
  <c r="M812"/>
  <c r="K812"/>
  <c r="J812"/>
  <c r="I812"/>
  <c r="L812" s="1"/>
  <c r="H812"/>
  <c r="M811"/>
  <c r="L811"/>
  <c r="K811"/>
  <c r="N811" s="1"/>
  <c r="J811"/>
  <c r="H811"/>
  <c r="I811" s="1"/>
  <c r="N810"/>
  <c r="M810"/>
  <c r="K810"/>
  <c r="J810"/>
  <c r="H810"/>
  <c r="I810" s="1"/>
  <c r="L810" s="1"/>
  <c r="H809"/>
  <c r="M808"/>
  <c r="H808"/>
  <c r="J808" s="1"/>
  <c r="K807"/>
  <c r="N807" s="1"/>
  <c r="J807"/>
  <c r="M807" s="1"/>
  <c r="I807"/>
  <c r="L807" s="1"/>
  <c r="H807"/>
  <c r="J806"/>
  <c r="M806" s="1"/>
  <c r="I806"/>
  <c r="L806" s="1"/>
  <c r="H806"/>
  <c r="K806" s="1"/>
  <c r="N806" s="1"/>
  <c r="H805"/>
  <c r="I805" s="1"/>
  <c r="L805" s="1"/>
  <c r="H804"/>
  <c r="I804" s="1"/>
  <c r="L804" s="1"/>
  <c r="N803"/>
  <c r="M803"/>
  <c r="L803"/>
  <c r="K803"/>
  <c r="J803"/>
  <c r="I803"/>
  <c r="H803"/>
  <c r="H802"/>
  <c r="N801"/>
  <c r="M801"/>
  <c r="L801"/>
  <c r="K801"/>
  <c r="J801"/>
  <c r="I801"/>
  <c r="H801"/>
  <c r="K800"/>
  <c r="N800" s="1"/>
  <c r="H800"/>
  <c r="I800" s="1"/>
  <c r="L800" s="1"/>
  <c r="H799"/>
  <c r="L798"/>
  <c r="K798"/>
  <c r="N798" s="1"/>
  <c r="J798"/>
  <c r="M798" s="1"/>
  <c r="I798"/>
  <c r="H798"/>
  <c r="H797"/>
  <c r="H796"/>
  <c r="N795"/>
  <c r="M795"/>
  <c r="L795"/>
  <c r="J795"/>
  <c r="I795"/>
  <c r="H795"/>
  <c r="K795" s="1"/>
  <c r="N794"/>
  <c r="M794"/>
  <c r="L794"/>
  <c r="K794"/>
  <c r="J794"/>
  <c r="I794"/>
  <c r="H794"/>
  <c r="M793"/>
  <c r="L793"/>
  <c r="K793"/>
  <c r="N793" s="1"/>
  <c r="J793"/>
  <c r="I793"/>
  <c r="H793"/>
  <c r="L792"/>
  <c r="K792"/>
  <c r="N792" s="1"/>
  <c r="J792"/>
  <c r="M792" s="1"/>
  <c r="I792"/>
  <c r="H792"/>
  <c r="N791"/>
  <c r="M791"/>
  <c r="L791"/>
  <c r="K791"/>
  <c r="J791"/>
  <c r="H791"/>
  <c r="I791" s="1"/>
  <c r="N790"/>
  <c r="J790"/>
  <c r="M790" s="1"/>
  <c r="I790"/>
  <c r="L790" s="1"/>
  <c r="H790"/>
  <c r="K790" s="1"/>
  <c r="H789"/>
  <c r="I789" s="1"/>
  <c r="L789" s="1"/>
  <c r="M788"/>
  <c r="K788"/>
  <c r="N788" s="1"/>
  <c r="J788"/>
  <c r="I788"/>
  <c r="L788" s="1"/>
  <c r="H788"/>
  <c r="N787"/>
  <c r="M787"/>
  <c r="L787"/>
  <c r="K787"/>
  <c r="J787"/>
  <c r="H787"/>
  <c r="I787" s="1"/>
  <c r="N786"/>
  <c r="M786"/>
  <c r="K786"/>
  <c r="J786"/>
  <c r="H786"/>
  <c r="I786" s="1"/>
  <c r="L786" s="1"/>
  <c r="L785"/>
  <c r="J785"/>
  <c r="M785" s="1"/>
  <c r="H785"/>
  <c r="I785" s="1"/>
  <c r="I784"/>
  <c r="L784" s="1"/>
  <c r="H784"/>
  <c r="J784" s="1"/>
  <c r="M784" s="1"/>
  <c r="L783"/>
  <c r="K783"/>
  <c r="N783" s="1"/>
  <c r="J783"/>
  <c r="M783" s="1"/>
  <c r="I783"/>
  <c r="H783"/>
  <c r="J782"/>
  <c r="M782" s="1"/>
  <c r="I782"/>
  <c r="L782" s="1"/>
  <c r="H782"/>
  <c r="K782" s="1"/>
  <c r="N782" s="1"/>
  <c r="N781"/>
  <c r="L781"/>
  <c r="K781"/>
  <c r="J781"/>
  <c r="M781" s="1"/>
  <c r="I781"/>
  <c r="H781"/>
  <c r="H780"/>
  <c r="I780" s="1"/>
  <c r="L780" s="1"/>
  <c r="N779"/>
  <c r="M779"/>
  <c r="L779"/>
  <c r="K779"/>
  <c r="J779"/>
  <c r="I779"/>
  <c r="H779"/>
  <c r="N778"/>
  <c r="M778"/>
  <c r="L778"/>
  <c r="K778"/>
  <c r="I778"/>
  <c r="H778"/>
  <c r="J778" s="1"/>
  <c r="N777"/>
  <c r="L777"/>
  <c r="K777"/>
  <c r="J777"/>
  <c r="M777" s="1"/>
  <c r="I777"/>
  <c r="H777"/>
  <c r="K776"/>
  <c r="N776" s="1"/>
  <c r="H776"/>
  <c r="I776" s="1"/>
  <c r="L776" s="1"/>
  <c r="K775"/>
  <c r="N775" s="1"/>
  <c r="J775"/>
  <c r="M775" s="1"/>
  <c r="I775"/>
  <c r="L775" s="1"/>
  <c r="H775"/>
  <c r="K774"/>
  <c r="N774" s="1"/>
  <c r="J774"/>
  <c r="M774" s="1"/>
  <c r="I774"/>
  <c r="L774" s="1"/>
  <c r="H774"/>
  <c r="H773"/>
  <c r="H772"/>
  <c r="N771"/>
  <c r="J771"/>
  <c r="M771" s="1"/>
  <c r="I771"/>
  <c r="L771" s="1"/>
  <c r="H771"/>
  <c r="K771" s="1"/>
  <c r="N770"/>
  <c r="M770"/>
  <c r="L770"/>
  <c r="K770"/>
  <c r="J770"/>
  <c r="I770"/>
  <c r="H770"/>
  <c r="N769"/>
  <c r="L769"/>
  <c r="K769"/>
  <c r="I769"/>
  <c r="H769"/>
  <c r="J769" s="1"/>
  <c r="M769" s="1"/>
  <c r="L768"/>
  <c r="K768"/>
  <c r="N768" s="1"/>
  <c r="J768"/>
  <c r="M768" s="1"/>
  <c r="I768"/>
  <c r="H768"/>
  <c r="M767"/>
  <c r="J767"/>
  <c r="H767"/>
  <c r="I767" s="1"/>
  <c r="L767" s="1"/>
  <c r="N766"/>
  <c r="J766"/>
  <c r="M766" s="1"/>
  <c r="I766"/>
  <c r="L766" s="1"/>
  <c r="H766"/>
  <c r="K766" s="1"/>
  <c r="I765"/>
  <c r="L765" s="1"/>
  <c r="H765"/>
  <c r="H764"/>
  <c r="N763"/>
  <c r="M763"/>
  <c r="K763"/>
  <c r="J763"/>
  <c r="H763"/>
  <c r="I763" s="1"/>
  <c r="L763" s="1"/>
  <c r="N762"/>
  <c r="M762"/>
  <c r="L762"/>
  <c r="K762"/>
  <c r="J762"/>
  <c r="I762"/>
  <c r="H762"/>
  <c r="M761"/>
  <c r="L761"/>
  <c r="K761"/>
  <c r="N761" s="1"/>
  <c r="J761"/>
  <c r="H761"/>
  <c r="I761" s="1"/>
  <c r="H760"/>
  <c r="K759"/>
  <c r="N759" s="1"/>
  <c r="J759"/>
  <c r="M759" s="1"/>
  <c r="I759"/>
  <c r="L759" s="1"/>
  <c r="H759"/>
  <c r="J758"/>
  <c r="M758" s="1"/>
  <c r="I758"/>
  <c r="L758" s="1"/>
  <c r="H758"/>
  <c r="K758" s="1"/>
  <c r="N758" s="1"/>
  <c r="J757"/>
  <c r="M757" s="1"/>
  <c r="I757"/>
  <c r="L757" s="1"/>
  <c r="H757"/>
  <c r="K757" s="1"/>
  <c r="N757" s="1"/>
  <c r="L756"/>
  <c r="H756"/>
  <c r="I756" s="1"/>
  <c r="N755"/>
  <c r="M755"/>
  <c r="L755"/>
  <c r="K755"/>
  <c r="J755"/>
  <c r="I755"/>
  <c r="H755"/>
  <c r="N754"/>
  <c r="M754"/>
  <c r="L754"/>
  <c r="K754"/>
  <c r="I754"/>
  <c r="H754"/>
  <c r="J754" s="1"/>
  <c r="N753"/>
  <c r="M753"/>
  <c r="L753"/>
  <c r="K753"/>
  <c r="J753"/>
  <c r="I753"/>
  <c r="H753"/>
  <c r="K752"/>
  <c r="N752" s="1"/>
  <c r="H752"/>
  <c r="I752" s="1"/>
  <c r="L752" s="1"/>
  <c r="K751"/>
  <c r="N751" s="1"/>
  <c r="J751"/>
  <c r="M751" s="1"/>
  <c r="I751"/>
  <c r="L751" s="1"/>
  <c r="H751"/>
  <c r="M750"/>
  <c r="L750"/>
  <c r="K750"/>
  <c r="N750" s="1"/>
  <c r="J750"/>
  <c r="I750"/>
  <c r="H750"/>
  <c r="H749"/>
  <c r="H748"/>
  <c r="N747"/>
  <c r="L747"/>
  <c r="J747"/>
  <c r="M747" s="1"/>
  <c r="I747"/>
  <c r="H747"/>
  <c r="K747" s="1"/>
  <c r="N746"/>
  <c r="M746"/>
  <c r="L746"/>
  <c r="K746"/>
  <c r="J746"/>
  <c r="I746"/>
  <c r="H746"/>
  <c r="M745"/>
  <c r="L745"/>
  <c r="K745"/>
  <c r="N745" s="1"/>
  <c r="J745"/>
  <c r="I745"/>
  <c r="H745"/>
  <c r="L744"/>
  <c r="K744"/>
  <c r="N744" s="1"/>
  <c r="J744"/>
  <c r="M744" s="1"/>
  <c r="I744"/>
  <c r="H744"/>
  <c r="M743"/>
  <c r="L743"/>
  <c r="K743"/>
  <c r="N743" s="1"/>
  <c r="J743"/>
  <c r="H743"/>
  <c r="I743" s="1"/>
  <c r="N742"/>
  <c r="J742"/>
  <c r="M742" s="1"/>
  <c r="I742"/>
  <c r="L742" s="1"/>
  <c r="H742"/>
  <c r="K742" s="1"/>
  <c r="I741"/>
  <c r="L741" s="1"/>
  <c r="H741"/>
  <c r="K740"/>
  <c r="N740" s="1"/>
  <c r="J740"/>
  <c r="M740" s="1"/>
  <c r="H740"/>
  <c r="I740" s="1"/>
  <c r="L740" s="1"/>
  <c r="M739"/>
  <c r="K739"/>
  <c r="N739" s="1"/>
  <c r="J739"/>
  <c r="H739"/>
  <c r="I739" s="1"/>
  <c r="L739" s="1"/>
  <c r="N738"/>
  <c r="M738"/>
  <c r="L738"/>
  <c r="K738"/>
  <c r="J738"/>
  <c r="I738"/>
  <c r="H738"/>
  <c r="M737"/>
  <c r="L737"/>
  <c r="K737"/>
  <c r="N737" s="1"/>
  <c r="J737"/>
  <c r="H737"/>
  <c r="I737" s="1"/>
  <c r="N736"/>
  <c r="M736"/>
  <c r="K736"/>
  <c r="H736"/>
  <c r="J736" s="1"/>
  <c r="L735"/>
  <c r="K735"/>
  <c r="N735" s="1"/>
  <c r="J735"/>
  <c r="M735" s="1"/>
  <c r="I735"/>
  <c r="H735"/>
  <c r="I734"/>
  <c r="L734" s="1"/>
  <c r="H734"/>
  <c r="K734" s="1"/>
  <c r="N734" s="1"/>
  <c r="L733"/>
  <c r="I733"/>
  <c r="H733"/>
  <c r="J733" s="1"/>
  <c r="M733" s="1"/>
  <c r="H732"/>
  <c r="I732" s="1"/>
  <c r="L732" s="1"/>
  <c r="N731"/>
  <c r="M731"/>
  <c r="L731"/>
  <c r="K731"/>
  <c r="J731"/>
  <c r="I731"/>
  <c r="H731"/>
  <c r="L730"/>
  <c r="K730"/>
  <c r="N730" s="1"/>
  <c r="I730"/>
  <c r="H730"/>
  <c r="J730" s="1"/>
  <c r="M730" s="1"/>
  <c r="N729"/>
  <c r="M729"/>
  <c r="L729"/>
  <c r="K729"/>
  <c r="J729"/>
  <c r="I729"/>
  <c r="H729"/>
  <c r="K728"/>
  <c r="N728" s="1"/>
  <c r="H728"/>
  <c r="I728" s="1"/>
  <c r="L728" s="1"/>
  <c r="K727"/>
  <c r="N727" s="1"/>
  <c r="J727"/>
  <c r="M727" s="1"/>
  <c r="H727"/>
  <c r="I727" s="1"/>
  <c r="L727" s="1"/>
  <c r="M726"/>
  <c r="L726"/>
  <c r="K726"/>
  <c r="N726" s="1"/>
  <c r="J726"/>
  <c r="I726"/>
  <c r="H726"/>
  <c r="H725"/>
  <c r="H724"/>
  <c r="N723"/>
  <c r="M723"/>
  <c r="L723"/>
  <c r="J723"/>
  <c r="I723"/>
  <c r="H723"/>
  <c r="K723" s="1"/>
  <c r="M722"/>
  <c r="L722"/>
  <c r="K722"/>
  <c r="N722" s="1"/>
  <c r="J722"/>
  <c r="I722"/>
  <c r="H722"/>
  <c r="N721"/>
  <c r="M721"/>
  <c r="L721"/>
  <c r="K721"/>
  <c r="J721"/>
  <c r="I721"/>
  <c r="H721"/>
  <c r="K720"/>
  <c r="N720" s="1"/>
  <c r="J720"/>
  <c r="M720" s="1"/>
  <c r="I720"/>
  <c r="L720" s="1"/>
  <c r="H720"/>
  <c r="N719"/>
  <c r="M719"/>
  <c r="L719"/>
  <c r="K719"/>
  <c r="J719"/>
  <c r="H719"/>
  <c r="I719" s="1"/>
  <c r="N718"/>
  <c r="K718"/>
  <c r="J718"/>
  <c r="M718" s="1"/>
  <c r="I718"/>
  <c r="L718" s="1"/>
  <c r="H718"/>
  <c r="H717"/>
  <c r="I717" s="1"/>
  <c r="L717" s="1"/>
  <c r="K716"/>
  <c r="N716" s="1"/>
  <c r="H716"/>
  <c r="I716" s="1"/>
  <c r="L716" s="1"/>
  <c r="M715"/>
  <c r="L715"/>
  <c r="K715"/>
  <c r="N715" s="1"/>
  <c r="J715"/>
  <c r="H715"/>
  <c r="I715" s="1"/>
  <c r="N714"/>
  <c r="M714"/>
  <c r="L714"/>
  <c r="K714"/>
  <c r="J714"/>
  <c r="I714"/>
  <c r="H714"/>
  <c r="L713"/>
  <c r="K713"/>
  <c r="N713" s="1"/>
  <c r="H713"/>
  <c r="I713" s="1"/>
  <c r="M712"/>
  <c r="H712"/>
  <c r="J712" s="1"/>
  <c r="L711"/>
  <c r="K711"/>
  <c r="N711" s="1"/>
  <c r="J711"/>
  <c r="M711" s="1"/>
  <c r="I711"/>
  <c r="H711"/>
  <c r="J710"/>
  <c r="M710" s="1"/>
  <c r="I710"/>
  <c r="L710" s="1"/>
  <c r="H710"/>
  <c r="K710" s="1"/>
  <c r="N710" s="1"/>
  <c r="N709"/>
  <c r="J709"/>
  <c r="M709" s="1"/>
  <c r="I709"/>
  <c r="L709" s="1"/>
  <c r="H709"/>
  <c r="K709" s="1"/>
  <c r="L708"/>
  <c r="H708"/>
  <c r="I708" s="1"/>
  <c r="N707"/>
  <c r="M707"/>
  <c r="L707"/>
  <c r="K707"/>
  <c r="J707"/>
  <c r="I707"/>
  <c r="H707"/>
  <c r="L706"/>
  <c r="K706"/>
  <c r="N706" s="1"/>
  <c r="I706"/>
  <c r="H706"/>
  <c r="J706" s="1"/>
  <c r="M706" s="1"/>
  <c r="N705"/>
  <c r="M705"/>
  <c r="K705"/>
  <c r="J705"/>
  <c r="I705"/>
  <c r="L705" s="1"/>
  <c r="H705"/>
  <c r="L704"/>
  <c r="K704"/>
  <c r="N704" s="1"/>
  <c r="H704"/>
  <c r="I704" s="1"/>
  <c r="J703"/>
  <c r="M703" s="1"/>
  <c r="H703"/>
  <c r="I703" s="1"/>
  <c r="L703" s="1"/>
  <c r="M702"/>
  <c r="K702"/>
  <c r="N702" s="1"/>
  <c r="J702"/>
  <c r="I702"/>
  <c r="L702" s="1"/>
  <c r="H702"/>
  <c r="H701"/>
  <c r="I701" s="1"/>
  <c r="L701" s="1"/>
  <c r="H700"/>
  <c r="N699"/>
  <c r="I699"/>
  <c r="L699" s="1"/>
  <c r="H699"/>
  <c r="K699" s="1"/>
  <c r="N698"/>
  <c r="M698"/>
  <c r="L698"/>
  <c r="K698"/>
  <c r="J698"/>
  <c r="I698"/>
  <c r="H698"/>
  <c r="N697"/>
  <c r="M697"/>
  <c r="L697"/>
  <c r="K697"/>
  <c r="J697"/>
  <c r="I697"/>
  <c r="H697"/>
  <c r="L696"/>
  <c r="K696"/>
  <c r="N696" s="1"/>
  <c r="J696"/>
  <c r="M696" s="1"/>
  <c r="I696"/>
  <c r="H696"/>
  <c r="N695"/>
  <c r="K695"/>
  <c r="J695"/>
  <c r="M695" s="1"/>
  <c r="I695"/>
  <c r="L695" s="1"/>
  <c r="H695"/>
  <c r="N694"/>
  <c r="J694"/>
  <c r="M694" s="1"/>
  <c r="I694"/>
  <c r="L694" s="1"/>
  <c r="H694"/>
  <c r="K694" s="1"/>
  <c r="I693"/>
  <c r="L693" s="1"/>
  <c r="H693"/>
  <c r="I692"/>
  <c r="L692" s="1"/>
  <c r="H692"/>
  <c r="K692" s="1"/>
  <c r="N692" s="1"/>
  <c r="N691"/>
  <c r="M691"/>
  <c r="L691"/>
  <c r="K691"/>
  <c r="J691"/>
  <c r="H691"/>
  <c r="I691" s="1"/>
  <c r="N690"/>
  <c r="M690"/>
  <c r="L690"/>
  <c r="K690"/>
  <c r="J690"/>
  <c r="I690"/>
  <c r="H690"/>
  <c r="L689"/>
  <c r="J689"/>
  <c r="M689" s="1"/>
  <c r="H689"/>
  <c r="I689" s="1"/>
  <c r="H688"/>
  <c r="I688" s="1"/>
  <c r="L688" s="1"/>
  <c r="L687"/>
  <c r="K687"/>
  <c r="N687" s="1"/>
  <c r="J687"/>
  <c r="M687" s="1"/>
  <c r="I687"/>
  <c r="H687"/>
  <c r="H686"/>
  <c r="N685"/>
  <c r="K685"/>
  <c r="J685"/>
  <c r="M685" s="1"/>
  <c r="H685"/>
  <c r="I685" s="1"/>
  <c r="L685" s="1"/>
  <c r="H684"/>
  <c r="N683"/>
  <c r="M683"/>
  <c r="L683"/>
  <c r="K683"/>
  <c r="J683"/>
  <c r="I683"/>
  <c r="H683"/>
  <c r="N682"/>
  <c r="M682"/>
  <c r="L682"/>
  <c r="K682"/>
  <c r="I682"/>
  <c r="H682"/>
  <c r="J682" s="1"/>
  <c r="N681"/>
  <c r="M681"/>
  <c r="L681"/>
  <c r="K681"/>
  <c r="J681"/>
  <c r="I681"/>
  <c r="H681"/>
  <c r="K680"/>
  <c r="N680" s="1"/>
  <c r="H680"/>
  <c r="I680" s="1"/>
  <c r="L680" s="1"/>
  <c r="H679"/>
  <c r="J678"/>
  <c r="M678" s="1"/>
  <c r="I678"/>
  <c r="L678" s="1"/>
  <c r="H678"/>
  <c r="K678" s="1"/>
  <c r="N678" s="1"/>
  <c r="I677"/>
  <c r="L677" s="1"/>
  <c r="H677"/>
  <c r="H676"/>
  <c r="N675"/>
  <c r="M675"/>
  <c r="J675"/>
  <c r="H675"/>
  <c r="K675" s="1"/>
  <c r="N674"/>
  <c r="M674"/>
  <c r="L674"/>
  <c r="K674"/>
  <c r="J674"/>
  <c r="I674"/>
  <c r="H674"/>
  <c r="N673"/>
  <c r="M673"/>
  <c r="L673"/>
  <c r="K673"/>
  <c r="J673"/>
  <c r="I673"/>
  <c r="H673"/>
  <c r="L672"/>
  <c r="K672"/>
  <c r="N672" s="1"/>
  <c r="J672"/>
  <c r="M672" s="1"/>
  <c r="I672"/>
  <c r="H672"/>
  <c r="M671"/>
  <c r="J671"/>
  <c r="H671"/>
  <c r="I671" s="1"/>
  <c r="L671" s="1"/>
  <c r="N670"/>
  <c r="J670"/>
  <c r="M670" s="1"/>
  <c r="I670"/>
  <c r="L670" s="1"/>
  <c r="H670"/>
  <c r="K670" s="1"/>
  <c r="H669"/>
  <c r="N668"/>
  <c r="M668"/>
  <c r="K668"/>
  <c r="J668"/>
  <c r="I668"/>
  <c r="L668" s="1"/>
  <c r="H668"/>
  <c r="M667"/>
  <c r="L667"/>
  <c r="K667"/>
  <c r="N667" s="1"/>
  <c r="J667"/>
  <c r="I667"/>
  <c r="H667"/>
  <c r="N666"/>
  <c r="M666"/>
  <c r="L666"/>
  <c r="K666"/>
  <c r="J666"/>
  <c r="I666"/>
  <c r="H666"/>
  <c r="J665"/>
  <c r="M665" s="1"/>
  <c r="H665"/>
  <c r="I665" s="1"/>
  <c r="L665" s="1"/>
  <c r="N664"/>
  <c r="M664"/>
  <c r="L664"/>
  <c r="K664"/>
  <c r="J664"/>
  <c r="I664"/>
  <c r="H664"/>
  <c r="K663"/>
  <c r="N663" s="1"/>
  <c r="J663"/>
  <c r="M663" s="1"/>
  <c r="H663"/>
  <c r="I663" s="1"/>
  <c r="L663" s="1"/>
  <c r="J662"/>
  <c r="M662" s="1"/>
  <c r="I662"/>
  <c r="L662" s="1"/>
  <c r="H662"/>
  <c r="K662" s="1"/>
  <c r="N662" s="1"/>
  <c r="N661"/>
  <c r="L661"/>
  <c r="K661"/>
  <c r="J661"/>
  <c r="M661" s="1"/>
  <c r="I661"/>
  <c r="H661"/>
  <c r="H660"/>
  <c r="N659"/>
  <c r="M659"/>
  <c r="L659"/>
  <c r="K659"/>
  <c r="J659"/>
  <c r="I659"/>
  <c r="H659"/>
  <c r="M658"/>
  <c r="L658"/>
  <c r="K658"/>
  <c r="N658" s="1"/>
  <c r="I658"/>
  <c r="H658"/>
  <c r="J658" s="1"/>
  <c r="N657"/>
  <c r="L657"/>
  <c r="K657"/>
  <c r="J657"/>
  <c r="M657" s="1"/>
  <c r="I657"/>
  <c r="H657"/>
  <c r="K656"/>
  <c r="N656" s="1"/>
  <c r="H656"/>
  <c r="I656" s="1"/>
  <c r="L656" s="1"/>
  <c r="K655"/>
  <c r="N655" s="1"/>
  <c r="J655"/>
  <c r="M655" s="1"/>
  <c r="I655"/>
  <c r="L655" s="1"/>
  <c r="H655"/>
  <c r="L654"/>
  <c r="K654"/>
  <c r="N654" s="1"/>
  <c r="J654"/>
  <c r="M654" s="1"/>
  <c r="I654"/>
  <c r="H654"/>
  <c r="I653"/>
  <c r="L653" s="1"/>
  <c r="H653"/>
  <c r="H652"/>
  <c r="N651"/>
  <c r="J651"/>
  <c r="M651" s="1"/>
  <c r="I651"/>
  <c r="L651" s="1"/>
  <c r="H651"/>
  <c r="K651" s="1"/>
  <c r="L650"/>
  <c r="K650"/>
  <c r="N650" s="1"/>
  <c r="J650"/>
  <c r="M650" s="1"/>
  <c r="I650"/>
  <c r="H650"/>
  <c r="M649"/>
  <c r="L649"/>
  <c r="K649"/>
  <c r="N649" s="1"/>
  <c r="J649"/>
  <c r="I649"/>
  <c r="H649"/>
  <c r="L648"/>
  <c r="K648"/>
  <c r="N648" s="1"/>
  <c r="J648"/>
  <c r="M648" s="1"/>
  <c r="I648"/>
  <c r="H648"/>
  <c r="M647"/>
  <c r="K647"/>
  <c r="N647" s="1"/>
  <c r="J647"/>
  <c r="H647"/>
  <c r="I647" s="1"/>
  <c r="L647" s="1"/>
  <c r="J646"/>
  <c r="M646" s="1"/>
  <c r="I646"/>
  <c r="L646" s="1"/>
  <c r="H646"/>
  <c r="K646" s="1"/>
  <c r="N646" s="1"/>
  <c r="I645"/>
  <c r="L645" s="1"/>
  <c r="H645"/>
  <c r="N644"/>
  <c r="M644"/>
  <c r="K644"/>
  <c r="J644"/>
  <c r="I644"/>
  <c r="L644" s="1"/>
  <c r="H644"/>
  <c r="N643"/>
  <c r="M643"/>
  <c r="L643"/>
  <c r="K643"/>
  <c r="J643"/>
  <c r="H643"/>
  <c r="I643" s="1"/>
  <c r="N642"/>
  <c r="M642"/>
  <c r="L642"/>
  <c r="K642"/>
  <c r="J642"/>
  <c r="I642"/>
  <c r="H642"/>
  <c r="K641"/>
  <c r="N641" s="1"/>
  <c r="J641"/>
  <c r="M641" s="1"/>
  <c r="H641"/>
  <c r="I641" s="1"/>
  <c r="L641" s="1"/>
  <c r="N640"/>
  <c r="K640"/>
  <c r="H640"/>
  <c r="L639"/>
  <c r="K639"/>
  <c r="N639" s="1"/>
  <c r="J639"/>
  <c r="M639" s="1"/>
  <c r="I639"/>
  <c r="H639"/>
  <c r="H638"/>
  <c r="K638" s="1"/>
  <c r="N638" s="1"/>
  <c r="H637"/>
  <c r="H636"/>
  <c r="N635"/>
  <c r="M635"/>
  <c r="L635"/>
  <c r="K635"/>
  <c r="J635"/>
  <c r="I635"/>
  <c r="H635"/>
  <c r="N634"/>
  <c r="M634"/>
  <c r="L634"/>
  <c r="K634"/>
  <c r="I634"/>
  <c r="H634"/>
  <c r="J634" s="1"/>
  <c r="N633"/>
  <c r="M633"/>
  <c r="K633"/>
  <c r="J633"/>
  <c r="I633"/>
  <c r="L633" s="1"/>
  <c r="H633"/>
  <c r="L632"/>
  <c r="K632"/>
  <c r="N632" s="1"/>
  <c r="H632"/>
  <c r="I632" s="1"/>
  <c r="K631"/>
  <c r="N631" s="1"/>
  <c r="J631"/>
  <c r="M631" s="1"/>
  <c r="I631"/>
  <c r="L631" s="1"/>
  <c r="H631"/>
  <c r="K630"/>
  <c r="N630" s="1"/>
  <c r="J630"/>
  <c r="M630" s="1"/>
  <c r="I630"/>
  <c r="L630" s="1"/>
  <c r="H630"/>
  <c r="I629"/>
  <c r="L629" s="1"/>
  <c r="H629"/>
  <c r="H628"/>
  <c r="H627"/>
  <c r="I627" s="1"/>
  <c r="L627" s="1"/>
  <c r="M626"/>
  <c r="L626"/>
  <c r="K626"/>
  <c r="N626" s="1"/>
  <c r="J626"/>
  <c r="I626"/>
  <c r="H626"/>
  <c r="N625"/>
  <c r="M625"/>
  <c r="L625"/>
  <c r="K625"/>
  <c r="J625"/>
  <c r="I625"/>
  <c r="H625"/>
  <c r="K624"/>
  <c r="N624" s="1"/>
  <c r="J624"/>
  <c r="M624" s="1"/>
  <c r="I624"/>
  <c r="L624" s="1"/>
  <c r="H624"/>
  <c r="K623"/>
  <c r="N623" s="1"/>
  <c r="J623"/>
  <c r="M623" s="1"/>
  <c r="I623"/>
  <c r="L623" s="1"/>
  <c r="H623"/>
  <c r="N622"/>
  <c r="J622"/>
  <c r="M622" s="1"/>
  <c r="I622"/>
  <c r="L622" s="1"/>
  <c r="H622"/>
  <c r="K622" s="1"/>
  <c r="I621"/>
  <c r="L621" s="1"/>
  <c r="H621"/>
  <c r="N620"/>
  <c r="M620"/>
  <c r="K620"/>
  <c r="J620"/>
  <c r="I620"/>
  <c r="L620" s="1"/>
  <c r="H620"/>
  <c r="N619"/>
  <c r="M619"/>
  <c r="L619"/>
  <c r="K619"/>
  <c r="J619"/>
  <c r="H619"/>
  <c r="I619" s="1"/>
  <c r="N618"/>
  <c r="M618"/>
  <c r="L618"/>
  <c r="K618"/>
  <c r="J618"/>
  <c r="I618"/>
  <c r="H618"/>
  <c r="M617"/>
  <c r="L617"/>
  <c r="K617"/>
  <c r="N617" s="1"/>
  <c r="J617"/>
  <c r="H617"/>
  <c r="I617" s="1"/>
  <c r="N616"/>
  <c r="M616"/>
  <c r="K616"/>
  <c r="J616"/>
  <c r="H616"/>
  <c r="I616" s="1"/>
  <c r="L616" s="1"/>
  <c r="K615"/>
  <c r="N615" s="1"/>
  <c r="J615"/>
  <c r="M615" s="1"/>
  <c r="H615"/>
  <c r="I615" s="1"/>
  <c r="L615" s="1"/>
  <c r="H614"/>
  <c r="J613"/>
  <c r="M613" s="1"/>
  <c r="I613"/>
  <c r="L613" s="1"/>
  <c r="H613"/>
  <c r="K613" s="1"/>
  <c r="N613" s="1"/>
  <c r="H612"/>
  <c r="N611"/>
  <c r="M611"/>
  <c r="L611"/>
  <c r="K611"/>
  <c r="J611"/>
  <c r="I611"/>
  <c r="H611"/>
  <c r="M610"/>
  <c r="H610"/>
  <c r="J610" s="1"/>
  <c r="N609"/>
  <c r="M609"/>
  <c r="L609"/>
  <c r="K609"/>
  <c r="J609"/>
  <c r="I609"/>
  <c r="H609"/>
  <c r="K608"/>
  <c r="N608" s="1"/>
  <c r="H608"/>
  <c r="J607"/>
  <c r="M607" s="1"/>
  <c r="I607"/>
  <c r="L607" s="1"/>
  <c r="H607"/>
  <c r="K607" s="1"/>
  <c r="N607" s="1"/>
  <c r="H606"/>
  <c r="I606" s="1"/>
  <c r="L606" s="1"/>
  <c r="H605"/>
  <c r="I605" s="1"/>
  <c r="L605" s="1"/>
  <c r="H604"/>
  <c r="N603"/>
  <c r="H603"/>
  <c r="K603" s="1"/>
  <c r="L602"/>
  <c r="K602"/>
  <c r="N602" s="1"/>
  <c r="J602"/>
  <c r="M602" s="1"/>
  <c r="I602"/>
  <c r="H602"/>
  <c r="M601"/>
  <c r="K601"/>
  <c r="N601" s="1"/>
  <c r="J601"/>
  <c r="I601"/>
  <c r="L601" s="1"/>
  <c r="H601"/>
  <c r="K600"/>
  <c r="N600" s="1"/>
  <c r="J600"/>
  <c r="M600" s="1"/>
  <c r="I600"/>
  <c r="L600" s="1"/>
  <c r="H600"/>
  <c r="N599"/>
  <c r="K599"/>
  <c r="J599"/>
  <c r="M599" s="1"/>
  <c r="I599"/>
  <c r="L599" s="1"/>
  <c r="H599"/>
  <c r="J598"/>
  <c r="M598" s="1"/>
  <c r="I598"/>
  <c r="L598" s="1"/>
  <c r="H598"/>
  <c r="K598" s="1"/>
  <c r="N598" s="1"/>
  <c r="I597"/>
  <c r="L597" s="1"/>
  <c r="H597"/>
  <c r="N596"/>
  <c r="K596"/>
  <c r="J596"/>
  <c r="M596" s="1"/>
  <c r="I596"/>
  <c r="L596" s="1"/>
  <c r="H596"/>
  <c r="M595"/>
  <c r="K595"/>
  <c r="N595" s="1"/>
  <c r="J595"/>
  <c r="H595"/>
  <c r="I595" s="1"/>
  <c r="L595" s="1"/>
  <c r="N594"/>
  <c r="M594"/>
  <c r="L594"/>
  <c r="K594"/>
  <c r="J594"/>
  <c r="I594"/>
  <c r="H594"/>
  <c r="M593"/>
  <c r="L593"/>
  <c r="K593"/>
  <c r="N593" s="1"/>
  <c r="J593"/>
  <c r="H593"/>
  <c r="I593" s="1"/>
  <c r="M592"/>
  <c r="K592"/>
  <c r="N592" s="1"/>
  <c r="J592"/>
  <c r="H592"/>
  <c r="I592" s="1"/>
  <c r="L592" s="1"/>
  <c r="K591"/>
  <c r="N591" s="1"/>
  <c r="J591"/>
  <c r="M591" s="1"/>
  <c r="H591"/>
  <c r="I591" s="1"/>
  <c r="L591" s="1"/>
  <c r="I590"/>
  <c r="L590" s="1"/>
  <c r="H590"/>
  <c r="K590" s="1"/>
  <c r="N590" s="1"/>
  <c r="N589"/>
  <c r="K589"/>
  <c r="H589"/>
  <c r="H588"/>
  <c r="M587"/>
  <c r="L587"/>
  <c r="K587"/>
  <c r="N587" s="1"/>
  <c r="J587"/>
  <c r="I587"/>
  <c r="H587"/>
  <c r="K586"/>
  <c r="N586" s="1"/>
  <c r="I586"/>
  <c r="L586" s="1"/>
  <c r="H586"/>
  <c r="J586" s="1"/>
  <c r="M586" s="1"/>
  <c r="N585"/>
  <c r="M585"/>
  <c r="L585"/>
  <c r="K585"/>
  <c r="J585"/>
  <c r="I585"/>
  <c r="H585"/>
  <c r="K584"/>
  <c r="N584" s="1"/>
  <c r="H584"/>
  <c r="K583"/>
  <c r="N583" s="1"/>
  <c r="J583"/>
  <c r="M583" s="1"/>
  <c r="I583"/>
  <c r="L583" s="1"/>
  <c r="H583"/>
  <c r="H582"/>
  <c r="L581"/>
  <c r="I581"/>
  <c r="H581"/>
  <c r="H580"/>
  <c r="N579"/>
  <c r="J579"/>
  <c r="M579" s="1"/>
  <c r="I579"/>
  <c r="L579" s="1"/>
  <c r="H579"/>
  <c r="K579" s="1"/>
  <c r="N578"/>
  <c r="M578"/>
  <c r="K578"/>
  <c r="J578"/>
  <c r="I578"/>
  <c r="L578" s="1"/>
  <c r="H578"/>
  <c r="M577"/>
  <c r="K577"/>
  <c r="N577" s="1"/>
  <c r="J577"/>
  <c r="I577"/>
  <c r="L577" s="1"/>
  <c r="H577"/>
  <c r="K576"/>
  <c r="N576" s="1"/>
  <c r="J576"/>
  <c r="M576" s="1"/>
  <c r="I576"/>
  <c r="L576" s="1"/>
  <c r="H576"/>
  <c r="N575"/>
  <c r="K575"/>
  <c r="J575"/>
  <c r="M575" s="1"/>
  <c r="I575"/>
  <c r="L575" s="1"/>
  <c r="H575"/>
  <c r="J574"/>
  <c r="M574" s="1"/>
  <c r="I574"/>
  <c r="L574" s="1"/>
  <c r="H574"/>
  <c r="K574" s="1"/>
  <c r="N574" s="1"/>
  <c r="H573"/>
  <c r="I573" s="1"/>
  <c r="L573" s="1"/>
  <c r="H572"/>
  <c r="I572" s="1"/>
  <c r="L572" s="1"/>
  <c r="N571"/>
  <c r="M571"/>
  <c r="L571"/>
  <c r="K571"/>
  <c r="J571"/>
  <c r="H571"/>
  <c r="I571" s="1"/>
  <c r="N570"/>
  <c r="M570"/>
  <c r="L570"/>
  <c r="K570"/>
  <c r="J570"/>
  <c r="I570"/>
  <c r="H570"/>
  <c r="L569"/>
  <c r="K569"/>
  <c r="N569" s="1"/>
  <c r="H569"/>
  <c r="I569" s="1"/>
  <c r="M568"/>
  <c r="L568"/>
  <c r="K568"/>
  <c r="N568" s="1"/>
  <c r="J568"/>
  <c r="I568"/>
  <c r="H568"/>
  <c r="K567"/>
  <c r="N567" s="1"/>
  <c r="J567"/>
  <c r="M567" s="1"/>
  <c r="I567"/>
  <c r="L567" s="1"/>
  <c r="H567"/>
  <c r="N566"/>
  <c r="J566"/>
  <c r="M566" s="1"/>
  <c r="I566"/>
  <c r="L566" s="1"/>
  <c r="H566"/>
  <c r="K566" s="1"/>
  <c r="N565"/>
  <c r="K565"/>
  <c r="I565"/>
  <c r="L565" s="1"/>
  <c r="H565"/>
  <c r="J565" s="1"/>
  <c r="M565" s="1"/>
  <c r="H564"/>
  <c r="K564" s="1"/>
  <c r="N564" s="1"/>
  <c r="M563"/>
  <c r="L563"/>
  <c r="K563"/>
  <c r="N563" s="1"/>
  <c r="J563"/>
  <c r="I563"/>
  <c r="H563"/>
  <c r="M562"/>
  <c r="L562"/>
  <c r="K562"/>
  <c r="N562" s="1"/>
  <c r="I562"/>
  <c r="H562"/>
  <c r="J562" s="1"/>
  <c r="N561"/>
  <c r="L561"/>
  <c r="K561"/>
  <c r="J561"/>
  <c r="M561" s="1"/>
  <c r="I561"/>
  <c r="H561"/>
  <c r="H560"/>
  <c r="K559"/>
  <c r="N559" s="1"/>
  <c r="J559"/>
  <c r="M559" s="1"/>
  <c r="I559"/>
  <c r="L559" s="1"/>
  <c r="H559"/>
  <c r="L558"/>
  <c r="K558"/>
  <c r="N558" s="1"/>
  <c r="J558"/>
  <c r="M558" s="1"/>
  <c r="I558"/>
  <c r="H558"/>
  <c r="L557"/>
  <c r="I557"/>
  <c r="H557"/>
  <c r="H556"/>
  <c r="H555"/>
  <c r="K555" s="1"/>
  <c r="N555" s="1"/>
  <c r="N554"/>
  <c r="M554"/>
  <c r="L554"/>
  <c r="K554"/>
  <c r="J554"/>
  <c r="I554"/>
  <c r="H554"/>
  <c r="M553"/>
  <c r="L553"/>
  <c r="K553"/>
  <c r="N553" s="1"/>
  <c r="J553"/>
  <c r="I553"/>
  <c r="H553"/>
  <c r="L552"/>
  <c r="K552"/>
  <c r="N552" s="1"/>
  <c r="J552"/>
  <c r="M552" s="1"/>
  <c r="I552"/>
  <c r="H552"/>
  <c r="H551"/>
  <c r="N550"/>
  <c r="M550"/>
  <c r="J550"/>
  <c r="I550"/>
  <c r="L550" s="1"/>
  <c r="H550"/>
  <c r="K550" s="1"/>
  <c r="I549"/>
  <c r="L549" s="1"/>
  <c r="H549"/>
  <c r="K548"/>
  <c r="N548" s="1"/>
  <c r="J548"/>
  <c r="M548" s="1"/>
  <c r="I548"/>
  <c r="L548" s="1"/>
  <c r="H548"/>
  <c r="N547"/>
  <c r="L547"/>
  <c r="K547"/>
  <c r="J547"/>
  <c r="M547" s="1"/>
  <c r="I547"/>
  <c r="H547"/>
  <c r="N546"/>
  <c r="L546"/>
  <c r="K546"/>
  <c r="J546"/>
  <c r="M546" s="1"/>
  <c r="I546"/>
  <c r="H546"/>
  <c r="M545"/>
  <c r="L545"/>
  <c r="K545"/>
  <c r="N545" s="1"/>
  <c r="J545"/>
  <c r="H545"/>
  <c r="I545" s="1"/>
  <c r="M544"/>
  <c r="L544"/>
  <c r="K544"/>
  <c r="N544" s="1"/>
  <c r="J544"/>
  <c r="I544"/>
  <c r="H544"/>
  <c r="N543"/>
  <c r="K543"/>
  <c r="J543"/>
  <c r="M543" s="1"/>
  <c r="I543"/>
  <c r="L543" s="1"/>
  <c r="H543"/>
  <c r="H542"/>
  <c r="I542" s="1"/>
  <c r="L542" s="1"/>
  <c r="L541"/>
  <c r="K541"/>
  <c r="N541" s="1"/>
  <c r="J541"/>
  <c r="M541" s="1"/>
  <c r="I541"/>
  <c r="H541"/>
  <c r="N540"/>
  <c r="K540"/>
  <c r="H540"/>
  <c r="N539"/>
  <c r="M539"/>
  <c r="L539"/>
  <c r="K539"/>
  <c r="J539"/>
  <c r="I539"/>
  <c r="H539"/>
  <c r="I538"/>
  <c r="L538" s="1"/>
  <c r="H538"/>
  <c r="N537"/>
  <c r="L537"/>
  <c r="K537"/>
  <c r="I537"/>
  <c r="H537"/>
  <c r="J537" s="1"/>
  <c r="M537" s="1"/>
  <c r="H536"/>
  <c r="K535"/>
  <c r="N535" s="1"/>
  <c r="J535"/>
  <c r="M535" s="1"/>
  <c r="I535"/>
  <c r="L535" s="1"/>
  <c r="H535"/>
  <c r="L534"/>
  <c r="K534"/>
  <c r="N534" s="1"/>
  <c r="J534"/>
  <c r="M534" s="1"/>
  <c r="I534"/>
  <c r="H534"/>
  <c r="L533"/>
  <c r="I533"/>
  <c r="H533"/>
  <c r="H532"/>
  <c r="N531"/>
  <c r="L531"/>
  <c r="J531"/>
  <c r="M531" s="1"/>
  <c r="I531"/>
  <c r="H531"/>
  <c r="K531" s="1"/>
  <c r="N530"/>
  <c r="M530"/>
  <c r="L530"/>
  <c r="K530"/>
  <c r="J530"/>
  <c r="I530"/>
  <c r="H530"/>
  <c r="M529"/>
  <c r="L529"/>
  <c r="K529"/>
  <c r="N529" s="1"/>
  <c r="J529"/>
  <c r="I529"/>
  <c r="H529"/>
  <c r="L528"/>
  <c r="K528"/>
  <c r="N528" s="1"/>
  <c r="J528"/>
  <c r="M528" s="1"/>
  <c r="I528"/>
  <c r="H528"/>
  <c r="K527"/>
  <c r="N527" s="1"/>
  <c r="H527"/>
  <c r="N526"/>
  <c r="M526"/>
  <c r="J526"/>
  <c r="I526"/>
  <c r="L526" s="1"/>
  <c r="H526"/>
  <c r="K526" s="1"/>
  <c r="H525"/>
  <c r="I525" s="1"/>
  <c r="L525" s="1"/>
  <c r="I524"/>
  <c r="L524" s="1"/>
  <c r="H524"/>
  <c r="N523"/>
  <c r="M523"/>
  <c r="L523"/>
  <c r="K523"/>
  <c r="J523"/>
  <c r="I523"/>
  <c r="H523"/>
  <c r="N522"/>
  <c r="L522"/>
  <c r="K522"/>
  <c r="J522"/>
  <c r="M522" s="1"/>
  <c r="I522"/>
  <c r="H522"/>
  <c r="L521"/>
  <c r="J521"/>
  <c r="M521" s="1"/>
  <c r="H521"/>
  <c r="I521" s="1"/>
  <c r="K520"/>
  <c r="N520" s="1"/>
  <c r="I520"/>
  <c r="L520" s="1"/>
  <c r="H520"/>
  <c r="J520" s="1"/>
  <c r="M520" s="1"/>
  <c r="N519"/>
  <c r="K519"/>
  <c r="J519"/>
  <c r="M519" s="1"/>
  <c r="I519"/>
  <c r="L519" s="1"/>
  <c r="H519"/>
  <c r="I518"/>
  <c r="L518" s="1"/>
  <c r="H518"/>
  <c r="K518" s="1"/>
  <c r="N518" s="1"/>
  <c r="N517"/>
  <c r="L517"/>
  <c r="K517"/>
  <c r="J517"/>
  <c r="M517" s="1"/>
  <c r="I517"/>
  <c r="H517"/>
  <c r="H516"/>
  <c r="K516" s="1"/>
  <c r="N516" s="1"/>
  <c r="N515"/>
  <c r="M515"/>
  <c r="L515"/>
  <c r="K515"/>
  <c r="J515"/>
  <c r="I515"/>
  <c r="H515"/>
  <c r="M514"/>
  <c r="I514"/>
  <c r="L514" s="1"/>
  <c r="H514"/>
  <c r="J514" s="1"/>
  <c r="H513"/>
  <c r="I513" s="1"/>
  <c r="L513" s="1"/>
  <c r="H512"/>
  <c r="K512" s="1"/>
  <c r="N512" s="1"/>
  <c r="J511"/>
  <c r="M511" s="1"/>
  <c r="I511"/>
  <c r="L511" s="1"/>
  <c r="H511"/>
  <c r="K511" s="1"/>
  <c r="N511" s="1"/>
  <c r="J510"/>
  <c r="M510" s="1"/>
  <c r="I510"/>
  <c r="L510" s="1"/>
  <c r="H510"/>
  <c r="K510" s="1"/>
  <c r="N510" s="1"/>
  <c r="L509"/>
  <c r="I509"/>
  <c r="H509"/>
  <c r="H508"/>
  <c r="N507"/>
  <c r="J507"/>
  <c r="M507" s="1"/>
  <c r="I507"/>
  <c r="L507" s="1"/>
  <c r="H507"/>
  <c r="K507" s="1"/>
  <c r="K506"/>
  <c r="N506" s="1"/>
  <c r="J506"/>
  <c r="M506" s="1"/>
  <c r="I506"/>
  <c r="L506" s="1"/>
  <c r="H506"/>
  <c r="M505"/>
  <c r="L505"/>
  <c r="K505"/>
  <c r="N505" s="1"/>
  <c r="J505"/>
  <c r="I505"/>
  <c r="H505"/>
  <c r="L504"/>
  <c r="K504"/>
  <c r="N504" s="1"/>
  <c r="J504"/>
  <c r="M504" s="1"/>
  <c r="I504"/>
  <c r="H504"/>
  <c r="M503"/>
  <c r="K503"/>
  <c r="N503" s="1"/>
  <c r="J503"/>
  <c r="H503"/>
  <c r="I503" s="1"/>
  <c r="L503" s="1"/>
  <c r="J502"/>
  <c r="M502" s="1"/>
  <c r="I502"/>
  <c r="L502" s="1"/>
  <c r="H502"/>
  <c r="K502" s="1"/>
  <c r="N502" s="1"/>
  <c r="H501"/>
  <c r="I501" s="1"/>
  <c r="L501" s="1"/>
  <c r="M500"/>
  <c r="I500"/>
  <c r="L500" s="1"/>
  <c r="H500"/>
  <c r="J500" s="1"/>
  <c r="N499"/>
  <c r="M499"/>
  <c r="L499"/>
  <c r="K499"/>
  <c r="J499"/>
  <c r="I499"/>
  <c r="H499"/>
  <c r="N498"/>
  <c r="L498"/>
  <c r="K498"/>
  <c r="J498"/>
  <c r="M498" s="1"/>
  <c r="I498"/>
  <c r="H498"/>
  <c r="L497"/>
  <c r="K497"/>
  <c r="N497" s="1"/>
  <c r="J497"/>
  <c r="M497" s="1"/>
  <c r="H497"/>
  <c r="I497" s="1"/>
  <c r="K496"/>
  <c r="N496" s="1"/>
  <c r="J496"/>
  <c r="M496" s="1"/>
  <c r="I496"/>
  <c r="L496" s="1"/>
  <c r="H496"/>
  <c r="M495"/>
  <c r="K495"/>
  <c r="N495" s="1"/>
  <c r="J495"/>
  <c r="H495"/>
  <c r="I495" s="1"/>
  <c r="L495" s="1"/>
  <c r="H494"/>
  <c r="K494" s="1"/>
  <c r="N494" s="1"/>
  <c r="K493"/>
  <c r="N493" s="1"/>
  <c r="J493"/>
  <c r="M493" s="1"/>
  <c r="I493"/>
  <c r="L493" s="1"/>
  <c r="H493"/>
  <c r="H492"/>
  <c r="N491"/>
  <c r="M491"/>
  <c r="L491"/>
  <c r="K491"/>
  <c r="J491"/>
  <c r="I491"/>
  <c r="H491"/>
  <c r="H490"/>
  <c r="N489"/>
  <c r="M489"/>
  <c r="L489"/>
  <c r="K489"/>
  <c r="J489"/>
  <c r="I489"/>
  <c r="H489"/>
  <c r="I488"/>
  <c r="L488" s="1"/>
  <c r="H488"/>
  <c r="J488" s="1"/>
  <c r="M488" s="1"/>
  <c r="K487"/>
  <c r="N487" s="1"/>
  <c r="J487"/>
  <c r="M487" s="1"/>
  <c r="I487"/>
  <c r="L487" s="1"/>
  <c r="H487"/>
  <c r="M486"/>
  <c r="K486"/>
  <c r="N486" s="1"/>
  <c r="J486"/>
  <c r="H486"/>
  <c r="I486" s="1"/>
  <c r="L486" s="1"/>
  <c r="M485"/>
  <c r="I485"/>
  <c r="L485" s="1"/>
  <c r="H485"/>
  <c r="J485" s="1"/>
  <c r="H484"/>
  <c r="N483"/>
  <c r="J483"/>
  <c r="M483" s="1"/>
  <c r="I483"/>
  <c r="L483" s="1"/>
  <c r="H483"/>
  <c r="K483" s="1"/>
  <c r="N482"/>
  <c r="K482"/>
  <c r="I482"/>
  <c r="L482" s="1"/>
  <c r="H482"/>
  <c r="J482" s="1"/>
  <c r="M482" s="1"/>
  <c r="K481"/>
  <c r="N481" s="1"/>
  <c r="J481"/>
  <c r="M481" s="1"/>
  <c r="I481"/>
  <c r="L481" s="1"/>
  <c r="H481"/>
  <c r="K480"/>
  <c r="N480" s="1"/>
  <c r="J480"/>
  <c r="M480" s="1"/>
  <c r="I480"/>
  <c r="L480" s="1"/>
  <c r="H480"/>
  <c r="N479"/>
  <c r="K479"/>
  <c r="J479"/>
  <c r="M479" s="1"/>
  <c r="I479"/>
  <c r="L479" s="1"/>
  <c r="H479"/>
  <c r="N478"/>
  <c r="M478"/>
  <c r="J478"/>
  <c r="I478"/>
  <c r="L478" s="1"/>
  <c r="H478"/>
  <c r="K478" s="1"/>
  <c r="H477"/>
  <c r="K476"/>
  <c r="N476" s="1"/>
  <c r="J476"/>
  <c r="M476" s="1"/>
  <c r="I476"/>
  <c r="L476" s="1"/>
  <c r="H476"/>
  <c r="N475"/>
  <c r="M475"/>
  <c r="K475"/>
  <c r="J475"/>
  <c r="I475"/>
  <c r="L475" s="1"/>
  <c r="H475"/>
  <c r="N474"/>
  <c r="M474"/>
  <c r="K474"/>
  <c r="J474"/>
  <c r="H474"/>
  <c r="I474" s="1"/>
  <c r="L474" s="1"/>
  <c r="H473"/>
  <c r="N472"/>
  <c r="M472"/>
  <c r="L472"/>
  <c r="K472"/>
  <c r="J472"/>
  <c r="I472"/>
  <c r="H472"/>
  <c r="K471"/>
  <c r="N471" s="1"/>
  <c r="J471"/>
  <c r="M471" s="1"/>
  <c r="I471"/>
  <c r="L471" s="1"/>
  <c r="H471"/>
  <c r="N470"/>
  <c r="J470"/>
  <c r="M470" s="1"/>
  <c r="I470"/>
  <c r="L470" s="1"/>
  <c r="H470"/>
  <c r="K470" s="1"/>
  <c r="H469"/>
  <c r="H468"/>
  <c r="I468" s="1"/>
  <c r="L468" s="1"/>
  <c r="N467"/>
  <c r="M467"/>
  <c r="L467"/>
  <c r="K467"/>
  <c r="J467"/>
  <c r="I467"/>
  <c r="H467"/>
  <c r="I466"/>
  <c r="L466" s="1"/>
  <c r="H466"/>
  <c r="J466" s="1"/>
  <c r="M466" s="1"/>
  <c r="K465"/>
  <c r="N465" s="1"/>
  <c r="J465"/>
  <c r="M465" s="1"/>
  <c r="I465"/>
  <c r="L465" s="1"/>
  <c r="H465"/>
  <c r="N464"/>
  <c r="L464"/>
  <c r="K464"/>
  <c r="J464"/>
  <c r="M464" s="1"/>
  <c r="I464"/>
  <c r="H464"/>
  <c r="K463"/>
  <c r="N463" s="1"/>
  <c r="J463"/>
  <c r="M463" s="1"/>
  <c r="I463"/>
  <c r="L463" s="1"/>
  <c r="H463"/>
  <c r="K462"/>
  <c r="N462" s="1"/>
  <c r="I462"/>
  <c r="L462" s="1"/>
  <c r="H462"/>
  <c r="J462" s="1"/>
  <c r="M462" s="1"/>
  <c r="K461"/>
  <c r="N461" s="1"/>
  <c r="J461"/>
  <c r="M461" s="1"/>
  <c r="I461"/>
  <c r="L461" s="1"/>
  <c r="H461"/>
  <c r="H460"/>
  <c r="N459"/>
  <c r="J459"/>
  <c r="M459" s="1"/>
  <c r="I459"/>
  <c r="L459" s="1"/>
  <c r="H459"/>
  <c r="K459" s="1"/>
  <c r="N458"/>
  <c r="K458"/>
  <c r="I458"/>
  <c r="L458" s="1"/>
  <c r="H458"/>
  <c r="J458" s="1"/>
  <c r="M458" s="1"/>
  <c r="K457"/>
  <c r="N457" s="1"/>
  <c r="J457"/>
  <c r="M457" s="1"/>
  <c r="I457"/>
  <c r="L457" s="1"/>
  <c r="H457"/>
  <c r="L456"/>
  <c r="K456"/>
  <c r="N456" s="1"/>
  <c r="J456"/>
  <c r="M456" s="1"/>
  <c r="I456"/>
  <c r="H456"/>
  <c r="L455"/>
  <c r="K455"/>
  <c r="N455" s="1"/>
  <c r="J455"/>
  <c r="M455" s="1"/>
  <c r="I455"/>
  <c r="H455"/>
  <c r="M454"/>
  <c r="K454"/>
  <c r="N454" s="1"/>
  <c r="J454"/>
  <c r="H454"/>
  <c r="I454" s="1"/>
  <c r="L454" s="1"/>
  <c r="I453"/>
  <c r="L453" s="1"/>
  <c r="H453"/>
  <c r="N452"/>
  <c r="M452"/>
  <c r="L452"/>
  <c r="K452"/>
  <c r="J452"/>
  <c r="I452"/>
  <c r="H452"/>
  <c r="M451"/>
  <c r="L451"/>
  <c r="K451"/>
  <c r="N451" s="1"/>
  <c r="J451"/>
  <c r="I451"/>
  <c r="H451"/>
  <c r="N450"/>
  <c r="M450"/>
  <c r="L450"/>
  <c r="K450"/>
  <c r="J450"/>
  <c r="H450"/>
  <c r="I450" s="1"/>
  <c r="L449"/>
  <c r="K449"/>
  <c r="N449" s="1"/>
  <c r="J449"/>
  <c r="M449" s="1"/>
  <c r="I449"/>
  <c r="H449"/>
  <c r="N448"/>
  <c r="K448"/>
  <c r="H448"/>
  <c r="N447"/>
  <c r="M447"/>
  <c r="L447"/>
  <c r="K447"/>
  <c r="J447"/>
  <c r="I447"/>
  <c r="H447"/>
  <c r="N446"/>
  <c r="J446"/>
  <c r="M446" s="1"/>
  <c r="H446"/>
  <c r="K446" s="1"/>
  <c r="L445"/>
  <c r="K445"/>
  <c r="N445" s="1"/>
  <c r="J445"/>
  <c r="M445" s="1"/>
  <c r="I445"/>
  <c r="H445"/>
  <c r="H444"/>
  <c r="I444" s="1"/>
  <c r="L444" s="1"/>
  <c r="N443"/>
  <c r="M443"/>
  <c r="L443"/>
  <c r="K443"/>
  <c r="J443"/>
  <c r="I443"/>
  <c r="H443"/>
  <c r="J442"/>
  <c r="M442" s="1"/>
  <c r="I442"/>
  <c r="L442" s="1"/>
  <c r="H442"/>
  <c r="K442" s="1"/>
  <c r="N442" s="1"/>
  <c r="N441"/>
  <c r="K441"/>
  <c r="J441"/>
  <c r="M441" s="1"/>
  <c r="I441"/>
  <c r="L441" s="1"/>
  <c r="H441"/>
  <c r="M440"/>
  <c r="L440"/>
  <c r="K440"/>
  <c r="N440" s="1"/>
  <c r="J440"/>
  <c r="I440"/>
  <c r="H440"/>
  <c r="K439"/>
  <c r="N439" s="1"/>
  <c r="I439"/>
  <c r="L439" s="1"/>
  <c r="H439"/>
  <c r="J439" s="1"/>
  <c r="M439" s="1"/>
  <c r="H438"/>
  <c r="I438" s="1"/>
  <c r="L438" s="1"/>
  <c r="N437"/>
  <c r="M437"/>
  <c r="L437"/>
  <c r="K437"/>
  <c r="J437"/>
  <c r="I437"/>
  <c r="H437"/>
  <c r="H436"/>
  <c r="N435"/>
  <c r="L435"/>
  <c r="K435"/>
  <c r="J435"/>
  <c r="M435" s="1"/>
  <c r="I435"/>
  <c r="H435"/>
  <c r="L434"/>
  <c r="K434"/>
  <c r="N434" s="1"/>
  <c r="J434"/>
  <c r="M434" s="1"/>
  <c r="I434"/>
  <c r="H434"/>
  <c r="M433"/>
  <c r="L433"/>
  <c r="K433"/>
  <c r="N433" s="1"/>
  <c r="J433"/>
  <c r="I433"/>
  <c r="H433"/>
  <c r="L432"/>
  <c r="K432"/>
  <c r="N432" s="1"/>
  <c r="J432"/>
  <c r="M432" s="1"/>
  <c r="I432"/>
  <c r="H432"/>
  <c r="N431"/>
  <c r="K431"/>
  <c r="H431"/>
  <c r="I431" s="1"/>
  <c r="L431" s="1"/>
  <c r="I430"/>
  <c r="L430" s="1"/>
  <c r="H430"/>
  <c r="J430" s="1"/>
  <c r="M430" s="1"/>
  <c r="I429"/>
  <c r="L429" s="1"/>
  <c r="H429"/>
  <c r="N428"/>
  <c r="K428"/>
  <c r="H428"/>
  <c r="I428" s="1"/>
  <c r="L428" s="1"/>
  <c r="H427"/>
  <c r="N426"/>
  <c r="K426"/>
  <c r="J426"/>
  <c r="M426" s="1"/>
  <c r="H426"/>
  <c r="I426" s="1"/>
  <c r="L426" s="1"/>
  <c r="L425"/>
  <c r="I425"/>
  <c r="H425"/>
  <c r="H424"/>
  <c r="I424" s="1"/>
  <c r="L424" s="1"/>
  <c r="H423"/>
  <c r="K423" s="1"/>
  <c r="N423" s="1"/>
  <c r="N422"/>
  <c r="H422"/>
  <c r="K422" s="1"/>
  <c r="M421"/>
  <c r="J421"/>
  <c r="I421"/>
  <c r="L421" s="1"/>
  <c r="H421"/>
  <c r="K421" s="1"/>
  <c r="N421" s="1"/>
  <c r="N420"/>
  <c r="K420"/>
  <c r="I420"/>
  <c r="L420" s="1"/>
  <c r="H420"/>
  <c r="J420" s="1"/>
  <c r="M420" s="1"/>
  <c r="M419"/>
  <c r="L419"/>
  <c r="K419"/>
  <c r="N419" s="1"/>
  <c r="J419"/>
  <c r="I419"/>
  <c r="H419"/>
  <c r="N418"/>
  <c r="L418"/>
  <c r="K418"/>
  <c r="J418"/>
  <c r="M418" s="1"/>
  <c r="I418"/>
  <c r="H418"/>
  <c r="N417"/>
  <c r="K417"/>
  <c r="H417"/>
  <c r="I417" s="1"/>
  <c r="L417" s="1"/>
  <c r="H416"/>
  <c r="K415"/>
  <c r="N415" s="1"/>
  <c r="J415"/>
  <c r="M415" s="1"/>
  <c r="I415"/>
  <c r="L415" s="1"/>
  <c r="H415"/>
  <c r="K414"/>
  <c r="N414" s="1"/>
  <c r="H414"/>
  <c r="N413"/>
  <c r="M413"/>
  <c r="L413"/>
  <c r="K413"/>
  <c r="J413"/>
  <c r="I413"/>
  <c r="H413"/>
  <c r="H412"/>
  <c r="H411"/>
  <c r="I411" s="1"/>
  <c r="L411" s="1"/>
  <c r="L410"/>
  <c r="I410"/>
  <c r="H410"/>
  <c r="N409"/>
  <c r="M409"/>
  <c r="L409"/>
  <c r="K409"/>
  <c r="J409"/>
  <c r="I409"/>
  <c r="H409"/>
  <c r="H408"/>
  <c r="N407"/>
  <c r="K407"/>
  <c r="J407"/>
  <c r="M407" s="1"/>
  <c r="I407"/>
  <c r="L407" s="1"/>
  <c r="H407"/>
  <c r="K406"/>
  <c r="N406" s="1"/>
  <c r="J406"/>
  <c r="M406" s="1"/>
  <c r="I406"/>
  <c r="L406" s="1"/>
  <c r="H406"/>
  <c r="I405"/>
  <c r="L405" s="1"/>
  <c r="H405"/>
  <c r="I404"/>
  <c r="L404" s="1"/>
  <c r="H404"/>
  <c r="K403"/>
  <c r="N403" s="1"/>
  <c r="J403"/>
  <c r="M403" s="1"/>
  <c r="I403"/>
  <c r="L403" s="1"/>
  <c r="H403"/>
  <c r="L402"/>
  <c r="K402"/>
  <c r="N402" s="1"/>
  <c r="J402"/>
  <c r="M402" s="1"/>
  <c r="H402"/>
  <c r="I402" s="1"/>
  <c r="K401"/>
  <c r="N401" s="1"/>
  <c r="I401"/>
  <c r="L401" s="1"/>
  <c r="H401"/>
  <c r="J401" s="1"/>
  <c r="M401" s="1"/>
  <c r="K400"/>
  <c r="N400" s="1"/>
  <c r="I400"/>
  <c r="L400" s="1"/>
  <c r="H400"/>
  <c r="J400" s="1"/>
  <c r="M400" s="1"/>
  <c r="N399"/>
  <c r="M399"/>
  <c r="L399"/>
  <c r="K399"/>
  <c r="J399"/>
  <c r="I399"/>
  <c r="H399"/>
  <c r="N398"/>
  <c r="J398"/>
  <c r="M398" s="1"/>
  <c r="I398"/>
  <c r="L398" s="1"/>
  <c r="H398"/>
  <c r="K398" s="1"/>
  <c r="N397"/>
  <c r="L397"/>
  <c r="K397"/>
  <c r="J397"/>
  <c r="M397" s="1"/>
  <c r="I397"/>
  <c r="H397"/>
  <c r="L396"/>
  <c r="K396"/>
  <c r="N396" s="1"/>
  <c r="J396"/>
  <c r="M396" s="1"/>
  <c r="I396"/>
  <c r="H396"/>
  <c r="M395"/>
  <c r="L395"/>
  <c r="K395"/>
  <c r="N395" s="1"/>
  <c r="J395"/>
  <c r="I395"/>
  <c r="H395"/>
  <c r="N394"/>
  <c r="L394"/>
  <c r="K394"/>
  <c r="I394"/>
  <c r="H394"/>
  <c r="J394" s="1"/>
  <c r="M394" s="1"/>
  <c r="I393"/>
  <c r="L393" s="1"/>
  <c r="H393"/>
  <c r="H392"/>
  <c r="I392" s="1"/>
  <c r="L392" s="1"/>
  <c r="I391"/>
  <c r="L391" s="1"/>
  <c r="H391"/>
  <c r="M390"/>
  <c r="J390"/>
  <c r="H390"/>
  <c r="I390" s="1"/>
  <c r="L390" s="1"/>
  <c r="J389"/>
  <c r="M389" s="1"/>
  <c r="I389"/>
  <c r="L389" s="1"/>
  <c r="H389"/>
  <c r="K389" s="1"/>
  <c r="N389" s="1"/>
  <c r="H388"/>
  <c r="J387"/>
  <c r="M387" s="1"/>
  <c r="I387"/>
  <c r="L387" s="1"/>
  <c r="H387"/>
  <c r="K387" s="1"/>
  <c r="N387" s="1"/>
  <c r="N386"/>
  <c r="K386"/>
  <c r="I386"/>
  <c r="L386" s="1"/>
  <c r="H386"/>
  <c r="J386" s="1"/>
  <c r="M386" s="1"/>
  <c r="K385"/>
  <c r="N385" s="1"/>
  <c r="J385"/>
  <c r="M385" s="1"/>
  <c r="I385"/>
  <c r="L385" s="1"/>
  <c r="H385"/>
  <c r="H384"/>
  <c r="I384" s="1"/>
  <c r="L384" s="1"/>
  <c r="L383"/>
  <c r="K383"/>
  <c r="N383" s="1"/>
  <c r="J383"/>
  <c r="M383" s="1"/>
  <c r="I383"/>
  <c r="H383"/>
  <c r="M382"/>
  <c r="K382"/>
  <c r="N382" s="1"/>
  <c r="J382"/>
  <c r="H382"/>
  <c r="I382" s="1"/>
  <c r="L382" s="1"/>
  <c r="I381"/>
  <c r="L381" s="1"/>
  <c r="H381"/>
  <c r="N380"/>
  <c r="K380"/>
  <c r="J380"/>
  <c r="M380" s="1"/>
  <c r="I380"/>
  <c r="L380" s="1"/>
  <c r="H380"/>
  <c r="M379"/>
  <c r="L379"/>
  <c r="K379"/>
  <c r="N379" s="1"/>
  <c r="J379"/>
  <c r="I379"/>
  <c r="H379"/>
  <c r="N378"/>
  <c r="M378"/>
  <c r="L378"/>
  <c r="K378"/>
  <c r="J378"/>
  <c r="H378"/>
  <c r="I378" s="1"/>
  <c r="K377"/>
  <c r="N377" s="1"/>
  <c r="J377"/>
  <c r="M377" s="1"/>
  <c r="I377"/>
  <c r="L377" s="1"/>
  <c r="H377"/>
  <c r="H376"/>
  <c r="K376" s="1"/>
  <c r="N376" s="1"/>
  <c r="N375"/>
  <c r="L375"/>
  <c r="K375"/>
  <c r="I375"/>
  <c r="H375"/>
  <c r="J375" s="1"/>
  <c r="M375" s="1"/>
  <c r="N374"/>
  <c r="H374"/>
  <c r="K374" s="1"/>
  <c r="N373"/>
  <c r="M373"/>
  <c r="L373"/>
  <c r="K373"/>
  <c r="J373"/>
  <c r="I373"/>
  <c r="H373"/>
  <c r="M372"/>
  <c r="J372"/>
  <c r="I372"/>
  <c r="L372" s="1"/>
  <c r="H372"/>
  <c r="K372" s="1"/>
  <c r="N372" s="1"/>
  <c r="N371"/>
  <c r="M371"/>
  <c r="K371"/>
  <c r="J371"/>
  <c r="I371"/>
  <c r="L371" s="1"/>
  <c r="H371"/>
  <c r="K370"/>
  <c r="N370" s="1"/>
  <c r="H370"/>
  <c r="I370" s="1"/>
  <c r="L370" s="1"/>
  <c r="M369"/>
  <c r="L369"/>
  <c r="K369"/>
  <c r="N369" s="1"/>
  <c r="J369"/>
  <c r="I369"/>
  <c r="H369"/>
  <c r="N368"/>
  <c r="K368"/>
  <c r="H368"/>
  <c r="I368" s="1"/>
  <c r="L368" s="1"/>
  <c r="K367"/>
  <c r="N367" s="1"/>
  <c r="J367"/>
  <c r="M367" s="1"/>
  <c r="H367"/>
  <c r="I367" s="1"/>
  <c r="L367" s="1"/>
  <c r="H366"/>
  <c r="I366" s="1"/>
  <c r="L366" s="1"/>
  <c r="H365"/>
  <c r="J365" s="1"/>
  <c r="M365" s="1"/>
  <c r="H364"/>
  <c r="J364" s="1"/>
  <c r="M364" s="1"/>
  <c r="H363"/>
  <c r="H362"/>
  <c r="I362" s="1"/>
  <c r="L362" s="1"/>
  <c r="N361"/>
  <c r="M361"/>
  <c r="K361"/>
  <c r="J361"/>
  <c r="I361"/>
  <c r="L361" s="1"/>
  <c r="H361"/>
  <c r="K360"/>
  <c r="N360" s="1"/>
  <c r="I360"/>
  <c r="L360" s="1"/>
  <c r="H360"/>
  <c r="J360" s="1"/>
  <c r="M360" s="1"/>
  <c r="K359"/>
  <c r="N359" s="1"/>
  <c r="H359"/>
  <c r="I359" s="1"/>
  <c r="L359" s="1"/>
  <c r="M358"/>
  <c r="L358"/>
  <c r="K358"/>
  <c r="N358" s="1"/>
  <c r="J358"/>
  <c r="I358"/>
  <c r="H358"/>
  <c r="N357"/>
  <c r="M357"/>
  <c r="K357"/>
  <c r="I357"/>
  <c r="L357" s="1"/>
  <c r="H357"/>
  <c r="J357" s="1"/>
  <c r="M356"/>
  <c r="K356"/>
  <c r="N356" s="1"/>
  <c r="J356"/>
  <c r="H356"/>
  <c r="I356" s="1"/>
  <c r="L356" s="1"/>
  <c r="K355"/>
  <c r="N355" s="1"/>
  <c r="J355"/>
  <c r="M355" s="1"/>
  <c r="I355"/>
  <c r="L355" s="1"/>
  <c r="H355"/>
  <c r="K354"/>
  <c r="N354" s="1"/>
  <c r="H354"/>
  <c r="K353"/>
  <c r="N353" s="1"/>
  <c r="H353"/>
  <c r="I353" s="1"/>
  <c r="L353" s="1"/>
  <c r="H352"/>
  <c r="K351"/>
  <c r="N351" s="1"/>
  <c r="J351"/>
  <c r="M351" s="1"/>
  <c r="I351"/>
  <c r="L351" s="1"/>
  <c r="H351"/>
  <c r="I350"/>
  <c r="L350" s="1"/>
  <c r="H350"/>
  <c r="M349"/>
  <c r="J349"/>
  <c r="H349"/>
  <c r="I349" s="1"/>
  <c r="L349" s="1"/>
  <c r="H348"/>
  <c r="K348" s="1"/>
  <c r="N348" s="1"/>
  <c r="M347"/>
  <c r="L347"/>
  <c r="K347"/>
  <c r="N347" s="1"/>
  <c r="J347"/>
  <c r="I347"/>
  <c r="H347"/>
  <c r="M346"/>
  <c r="L346"/>
  <c r="K346"/>
  <c r="N346" s="1"/>
  <c r="J346"/>
  <c r="I346"/>
  <c r="H346"/>
  <c r="N345"/>
  <c r="K345"/>
  <c r="H345"/>
  <c r="I345" s="1"/>
  <c r="L345" s="1"/>
  <c r="L344"/>
  <c r="K344"/>
  <c r="N344" s="1"/>
  <c r="J344"/>
  <c r="M344" s="1"/>
  <c r="I344"/>
  <c r="H344"/>
  <c r="J343"/>
  <c r="M343" s="1"/>
  <c r="H343"/>
  <c r="I343" s="1"/>
  <c r="L343" s="1"/>
  <c r="N342"/>
  <c r="L342"/>
  <c r="K342"/>
  <c r="I342"/>
  <c r="H342"/>
  <c r="J342" s="1"/>
  <c r="M342" s="1"/>
  <c r="I341"/>
  <c r="L341" s="1"/>
  <c r="H341"/>
  <c r="M340"/>
  <c r="J340"/>
  <c r="H340"/>
  <c r="M339"/>
  <c r="J339"/>
  <c r="I339"/>
  <c r="L339" s="1"/>
  <c r="H339"/>
  <c r="K339" s="1"/>
  <c r="N339" s="1"/>
  <c r="N338"/>
  <c r="K338"/>
  <c r="I338"/>
  <c r="L338" s="1"/>
  <c r="H338"/>
  <c r="J338" s="1"/>
  <c r="M338" s="1"/>
  <c r="K337"/>
  <c r="N337" s="1"/>
  <c r="J337"/>
  <c r="M337" s="1"/>
  <c r="I337"/>
  <c r="L337" s="1"/>
  <c r="H337"/>
  <c r="H336"/>
  <c r="I336" s="1"/>
  <c r="L336" s="1"/>
  <c r="M335"/>
  <c r="L335"/>
  <c r="K335"/>
  <c r="N335" s="1"/>
  <c r="J335"/>
  <c r="I335"/>
  <c r="H335"/>
  <c r="N334"/>
  <c r="K334"/>
  <c r="H334"/>
  <c r="I334" s="1"/>
  <c r="L334" s="1"/>
  <c r="I333"/>
  <c r="L333" s="1"/>
  <c r="H333"/>
  <c r="J333" s="1"/>
  <c r="M333" s="1"/>
  <c r="N332"/>
  <c r="M332"/>
  <c r="L332"/>
  <c r="K332"/>
  <c r="J332"/>
  <c r="H332"/>
  <c r="I332" s="1"/>
  <c r="N331"/>
  <c r="L331"/>
  <c r="K331"/>
  <c r="I331"/>
  <c r="H331"/>
  <c r="J331" s="1"/>
  <c r="M331" s="1"/>
  <c r="H330"/>
  <c r="M329"/>
  <c r="J329"/>
  <c r="H329"/>
  <c r="I329" s="1"/>
  <c r="L329" s="1"/>
  <c r="N328"/>
  <c r="M328"/>
  <c r="J328"/>
  <c r="I328"/>
  <c r="L328" s="1"/>
  <c r="H328"/>
  <c r="K328" s="1"/>
  <c r="N327"/>
  <c r="K327"/>
  <c r="I327"/>
  <c r="L327" s="1"/>
  <c r="H327"/>
  <c r="J327" s="1"/>
  <c r="M327" s="1"/>
  <c r="I326"/>
  <c r="L326" s="1"/>
  <c r="H326"/>
  <c r="K325"/>
  <c r="N325" s="1"/>
  <c r="J325"/>
  <c r="M325" s="1"/>
  <c r="I325"/>
  <c r="L325" s="1"/>
  <c r="H325"/>
  <c r="N324"/>
  <c r="L324"/>
  <c r="K324"/>
  <c r="J324"/>
  <c r="M324" s="1"/>
  <c r="I324"/>
  <c r="H324"/>
  <c r="M323"/>
  <c r="L323"/>
  <c r="K323"/>
  <c r="N323" s="1"/>
  <c r="J323"/>
  <c r="I323"/>
  <c r="H323"/>
  <c r="M322"/>
  <c r="L322"/>
  <c r="K322"/>
  <c r="N322" s="1"/>
  <c r="J322"/>
  <c r="I322"/>
  <c r="H322"/>
  <c r="L321"/>
  <c r="K321"/>
  <c r="N321" s="1"/>
  <c r="I321"/>
  <c r="H321"/>
  <c r="J321" s="1"/>
  <c r="M321" s="1"/>
  <c r="M320"/>
  <c r="J320"/>
  <c r="H320"/>
  <c r="I320" s="1"/>
  <c r="L320" s="1"/>
  <c r="H319"/>
  <c r="L318"/>
  <c r="I318"/>
  <c r="H318"/>
  <c r="J318" s="1"/>
  <c r="M318" s="1"/>
  <c r="N317"/>
  <c r="M317"/>
  <c r="K317"/>
  <c r="J317"/>
  <c r="I317"/>
  <c r="L317" s="1"/>
  <c r="H317"/>
  <c r="H316"/>
  <c r="J316" s="1"/>
  <c r="M316" s="1"/>
  <c r="H315"/>
  <c r="K315" s="1"/>
  <c r="N315" s="1"/>
  <c r="N314"/>
  <c r="M314"/>
  <c r="L314"/>
  <c r="K314"/>
  <c r="J314"/>
  <c r="I314"/>
  <c r="H314"/>
  <c r="M313"/>
  <c r="L313"/>
  <c r="K313"/>
  <c r="N313" s="1"/>
  <c r="J313"/>
  <c r="I313"/>
  <c r="H313"/>
  <c r="N312"/>
  <c r="K312"/>
  <c r="J312"/>
  <c r="M312" s="1"/>
  <c r="H312"/>
  <c r="I312" s="1"/>
  <c r="L312" s="1"/>
  <c r="M311"/>
  <c r="L311"/>
  <c r="K311"/>
  <c r="N311" s="1"/>
  <c r="J311"/>
  <c r="I311"/>
  <c r="H311"/>
  <c r="N310"/>
  <c r="M310"/>
  <c r="L310"/>
  <c r="K310"/>
  <c r="I310"/>
  <c r="H310"/>
  <c r="J310" s="1"/>
  <c r="M309"/>
  <c r="I309"/>
  <c r="L309" s="1"/>
  <c r="H309"/>
  <c r="J309" s="1"/>
  <c r="I308"/>
  <c r="L308" s="1"/>
  <c r="H308"/>
  <c r="J307"/>
  <c r="M307" s="1"/>
  <c r="I307"/>
  <c r="L307" s="1"/>
  <c r="H307"/>
  <c r="K307" s="1"/>
  <c r="N307" s="1"/>
  <c r="N306"/>
  <c r="L306"/>
  <c r="K306"/>
  <c r="J306"/>
  <c r="M306" s="1"/>
  <c r="I306"/>
  <c r="H306"/>
  <c r="L305"/>
  <c r="K305"/>
  <c r="N305" s="1"/>
  <c r="J305"/>
  <c r="M305" s="1"/>
  <c r="I305"/>
  <c r="H305"/>
  <c r="H304"/>
  <c r="I304" s="1"/>
  <c r="L304" s="1"/>
  <c r="H303"/>
  <c r="I303" s="1"/>
  <c r="L303" s="1"/>
  <c r="N302"/>
  <c r="H302"/>
  <c r="K302" s="1"/>
  <c r="H301"/>
  <c r="I300"/>
  <c r="L300" s="1"/>
  <c r="H300"/>
  <c r="J300" s="1"/>
  <c r="M300" s="1"/>
  <c r="N299"/>
  <c r="M299"/>
  <c r="K299"/>
  <c r="J299"/>
  <c r="I299"/>
  <c r="L299" s="1"/>
  <c r="H299"/>
  <c r="N298"/>
  <c r="L298"/>
  <c r="K298"/>
  <c r="J298"/>
  <c r="M298" s="1"/>
  <c r="I298"/>
  <c r="H298"/>
  <c r="K297"/>
  <c r="N297" s="1"/>
  <c r="J297"/>
  <c r="M297" s="1"/>
  <c r="I297"/>
  <c r="L297" s="1"/>
  <c r="H297"/>
  <c r="H296"/>
  <c r="I296" s="1"/>
  <c r="L296" s="1"/>
  <c r="N295"/>
  <c r="K295"/>
  <c r="H295"/>
  <c r="I295" s="1"/>
  <c r="L295" s="1"/>
  <c r="H294"/>
  <c r="K293"/>
  <c r="N293" s="1"/>
  <c r="J293"/>
  <c r="M293" s="1"/>
  <c r="I293"/>
  <c r="L293" s="1"/>
  <c r="H293"/>
  <c r="K292"/>
  <c r="N292" s="1"/>
  <c r="J292"/>
  <c r="M292" s="1"/>
  <c r="H292"/>
  <c r="I292" s="1"/>
  <c r="L292" s="1"/>
  <c r="N291"/>
  <c r="K291"/>
  <c r="I291"/>
  <c r="L291" s="1"/>
  <c r="H291"/>
  <c r="J291" s="1"/>
  <c r="M291" s="1"/>
  <c r="H290"/>
  <c r="I290" s="1"/>
  <c r="L290" s="1"/>
  <c r="N289"/>
  <c r="M289"/>
  <c r="L289"/>
  <c r="K289"/>
  <c r="J289"/>
  <c r="I289"/>
  <c r="H289"/>
  <c r="N288"/>
  <c r="L288"/>
  <c r="K288"/>
  <c r="J288"/>
  <c r="M288" s="1"/>
  <c r="I288"/>
  <c r="H288"/>
  <c r="N287"/>
  <c r="K287"/>
  <c r="H287"/>
  <c r="I287" s="1"/>
  <c r="L287" s="1"/>
  <c r="N286"/>
  <c r="M286"/>
  <c r="L286"/>
  <c r="K286"/>
  <c r="J286"/>
  <c r="I286"/>
  <c r="H286"/>
  <c r="L285"/>
  <c r="I285"/>
  <c r="H285"/>
  <c r="M284"/>
  <c r="J284"/>
  <c r="H284"/>
  <c r="I284" s="1"/>
  <c r="L284" s="1"/>
  <c r="I283"/>
  <c r="L283" s="1"/>
  <c r="H283"/>
  <c r="K283" s="1"/>
  <c r="N283" s="1"/>
  <c r="J282"/>
  <c r="M282" s="1"/>
  <c r="I282"/>
  <c r="L282" s="1"/>
  <c r="H282"/>
  <c r="K282" s="1"/>
  <c r="N282" s="1"/>
  <c r="L281"/>
  <c r="K281"/>
  <c r="N281" s="1"/>
  <c r="J281"/>
  <c r="M281" s="1"/>
  <c r="I281"/>
  <c r="H281"/>
  <c r="M280"/>
  <c r="K280"/>
  <c r="N280" s="1"/>
  <c r="J280"/>
  <c r="H280"/>
  <c r="I280" s="1"/>
  <c r="L280" s="1"/>
  <c r="M279"/>
  <c r="K279"/>
  <c r="N279" s="1"/>
  <c r="J279"/>
  <c r="H279"/>
  <c r="I279" s="1"/>
  <c r="L279" s="1"/>
  <c r="H278"/>
  <c r="J278" s="1"/>
  <c r="M278" s="1"/>
  <c r="N277"/>
  <c r="L277"/>
  <c r="K277"/>
  <c r="I277"/>
  <c r="H277"/>
  <c r="J277" s="1"/>
  <c r="M277" s="1"/>
  <c r="I276"/>
  <c r="L276" s="1"/>
  <c r="H276"/>
  <c r="K275"/>
  <c r="N275" s="1"/>
  <c r="J275"/>
  <c r="M275" s="1"/>
  <c r="I275"/>
  <c r="L275" s="1"/>
  <c r="H275"/>
  <c r="N274"/>
  <c r="L274"/>
  <c r="K274"/>
  <c r="J274"/>
  <c r="M274" s="1"/>
  <c r="I274"/>
  <c r="H274"/>
  <c r="M273"/>
  <c r="K273"/>
  <c r="N273" s="1"/>
  <c r="J273"/>
  <c r="H273"/>
  <c r="I273" s="1"/>
  <c r="L273" s="1"/>
  <c r="L272"/>
  <c r="K272"/>
  <c r="N272" s="1"/>
  <c r="J272"/>
  <c r="M272" s="1"/>
  <c r="I272"/>
  <c r="H272"/>
  <c r="H271"/>
  <c r="I271" s="1"/>
  <c r="L271" s="1"/>
  <c r="N270"/>
  <c r="L270"/>
  <c r="K270"/>
  <c r="I270"/>
  <c r="H270"/>
  <c r="J270" s="1"/>
  <c r="M270" s="1"/>
  <c r="I269"/>
  <c r="L269" s="1"/>
  <c r="H269"/>
  <c r="L268"/>
  <c r="H268"/>
  <c r="I268" s="1"/>
  <c r="M267"/>
  <c r="K267"/>
  <c r="N267" s="1"/>
  <c r="J267"/>
  <c r="I267"/>
  <c r="L267" s="1"/>
  <c r="H267"/>
  <c r="N266"/>
  <c r="L266"/>
  <c r="K266"/>
  <c r="J266"/>
  <c r="M266" s="1"/>
  <c r="I266"/>
  <c r="H266"/>
  <c r="K265"/>
  <c r="N265" s="1"/>
  <c r="J265"/>
  <c r="M265" s="1"/>
  <c r="H265"/>
  <c r="I265" s="1"/>
  <c r="L265" s="1"/>
  <c r="L264"/>
  <c r="K264"/>
  <c r="N264" s="1"/>
  <c r="J264"/>
  <c r="M264" s="1"/>
  <c r="I264"/>
  <c r="H264"/>
  <c r="N263"/>
  <c r="K263"/>
  <c r="H263"/>
  <c r="I263" s="1"/>
  <c r="L263" s="1"/>
  <c r="H262"/>
  <c r="N261"/>
  <c r="M261"/>
  <c r="L261"/>
  <c r="K261"/>
  <c r="I261"/>
  <c r="H261"/>
  <c r="J261" s="1"/>
  <c r="N260"/>
  <c r="M260"/>
  <c r="L260"/>
  <c r="J260"/>
  <c r="I260"/>
  <c r="H260"/>
  <c r="K260" s="1"/>
  <c r="N259"/>
  <c r="K259"/>
  <c r="I259"/>
  <c r="L259" s="1"/>
  <c r="H259"/>
  <c r="J259" s="1"/>
  <c r="M259" s="1"/>
  <c r="K258"/>
  <c r="N258" s="1"/>
  <c r="H258"/>
  <c r="I258" s="1"/>
  <c r="L258" s="1"/>
  <c r="L257"/>
  <c r="K257"/>
  <c r="N257" s="1"/>
  <c r="J257"/>
  <c r="M257" s="1"/>
  <c r="I257"/>
  <c r="H257"/>
  <c r="M256"/>
  <c r="L256"/>
  <c r="K256"/>
  <c r="N256" s="1"/>
  <c r="J256"/>
  <c r="I256"/>
  <c r="H256"/>
  <c r="N255"/>
  <c r="K255"/>
  <c r="H255"/>
  <c r="I255" s="1"/>
  <c r="L255" s="1"/>
  <c r="I254"/>
  <c r="L254" s="1"/>
  <c r="H254"/>
  <c r="K254" s="1"/>
  <c r="N254" s="1"/>
  <c r="I253"/>
  <c r="L253" s="1"/>
  <c r="H253"/>
  <c r="J253" s="1"/>
  <c r="M253" s="1"/>
  <c r="M252"/>
  <c r="J252"/>
  <c r="H252"/>
  <c r="I252" s="1"/>
  <c r="L252" s="1"/>
  <c r="N251"/>
  <c r="K251"/>
  <c r="J251"/>
  <c r="M251" s="1"/>
  <c r="I251"/>
  <c r="L251" s="1"/>
  <c r="H251"/>
  <c r="N250"/>
  <c r="M250"/>
  <c r="L250"/>
  <c r="K250"/>
  <c r="J250"/>
  <c r="I250"/>
  <c r="H250"/>
  <c r="M249"/>
  <c r="L249"/>
  <c r="K249"/>
  <c r="N249" s="1"/>
  <c r="J249"/>
  <c r="I249"/>
  <c r="H249"/>
  <c r="N248"/>
  <c r="K248"/>
  <c r="H248"/>
  <c r="I248" s="1"/>
  <c r="L248" s="1"/>
  <c r="N247"/>
  <c r="M247"/>
  <c r="K247"/>
  <c r="J247"/>
  <c r="I247"/>
  <c r="L247" s="1"/>
  <c r="H247"/>
  <c r="M246"/>
  <c r="L246"/>
  <c r="K246"/>
  <c r="N246" s="1"/>
  <c r="I246"/>
  <c r="H246"/>
  <c r="J246" s="1"/>
  <c r="M245"/>
  <c r="J245"/>
  <c r="H245"/>
  <c r="I245" s="1"/>
  <c r="L245" s="1"/>
  <c r="H244"/>
  <c r="J244" s="1"/>
  <c r="M244" s="1"/>
  <c r="I243"/>
  <c r="L243" s="1"/>
  <c r="H243"/>
  <c r="J243" s="1"/>
  <c r="M243" s="1"/>
  <c r="N242"/>
  <c r="L242"/>
  <c r="K242"/>
  <c r="J242"/>
  <c r="M242" s="1"/>
  <c r="I242"/>
  <c r="H242"/>
  <c r="M241"/>
  <c r="K241"/>
  <c r="N241" s="1"/>
  <c r="J241"/>
  <c r="H241"/>
  <c r="I241" s="1"/>
  <c r="L241" s="1"/>
  <c r="L240"/>
  <c r="K240"/>
  <c r="N240" s="1"/>
  <c r="J240"/>
  <c r="M240" s="1"/>
  <c r="I240"/>
  <c r="H240"/>
  <c r="L239"/>
  <c r="H239"/>
  <c r="I239" s="1"/>
  <c r="N238"/>
  <c r="L238"/>
  <c r="K238"/>
  <c r="I238"/>
  <c r="H238"/>
  <c r="J238" s="1"/>
  <c r="M238" s="1"/>
  <c r="H237"/>
  <c r="J236"/>
  <c r="M236" s="1"/>
  <c r="I236"/>
  <c r="L236" s="1"/>
  <c r="H236"/>
  <c r="K236" s="1"/>
  <c r="N236" s="1"/>
  <c r="N235"/>
  <c r="M235"/>
  <c r="K235"/>
  <c r="J235"/>
  <c r="I235"/>
  <c r="L235" s="1"/>
  <c r="H235"/>
  <c r="N234"/>
  <c r="L234"/>
  <c r="K234"/>
  <c r="J234"/>
  <c r="M234" s="1"/>
  <c r="I234"/>
  <c r="H234"/>
  <c r="L233"/>
  <c r="K233"/>
  <c r="N233" s="1"/>
  <c r="J233"/>
  <c r="M233" s="1"/>
  <c r="I233"/>
  <c r="H233"/>
  <c r="J232"/>
  <c r="M232" s="1"/>
  <c r="H232"/>
  <c r="I232" s="1"/>
  <c r="L232" s="1"/>
  <c r="N231"/>
  <c r="L231"/>
  <c r="K231"/>
  <c r="I231"/>
  <c r="H231"/>
  <c r="J231" s="1"/>
  <c r="M231" s="1"/>
  <c r="H230"/>
  <c r="I230" s="1"/>
  <c r="L230" s="1"/>
  <c r="H229"/>
  <c r="I229" s="1"/>
  <c r="L229" s="1"/>
  <c r="N228"/>
  <c r="L228"/>
  <c r="K228"/>
  <c r="J228"/>
  <c r="M228" s="1"/>
  <c r="I228"/>
  <c r="H228"/>
  <c r="M227"/>
  <c r="K227"/>
  <c r="N227" s="1"/>
  <c r="J227"/>
  <c r="H227"/>
  <c r="I227" s="1"/>
  <c r="L227" s="1"/>
  <c r="M226"/>
  <c r="L226"/>
  <c r="K226"/>
  <c r="N226" s="1"/>
  <c r="J226"/>
  <c r="I226"/>
  <c r="H226"/>
  <c r="M225"/>
  <c r="H225"/>
  <c r="J225" s="1"/>
  <c r="M224"/>
  <c r="J224"/>
  <c r="H224"/>
  <c r="I224" s="1"/>
  <c r="L224" s="1"/>
  <c r="J223"/>
  <c r="M223" s="1"/>
  <c r="I223"/>
  <c r="L223" s="1"/>
  <c r="H223"/>
  <c r="K223" s="1"/>
  <c r="N223" s="1"/>
  <c r="J222"/>
  <c r="M222" s="1"/>
  <c r="I222"/>
  <c r="L222" s="1"/>
  <c r="H222"/>
  <c r="K222" s="1"/>
  <c r="N222" s="1"/>
  <c r="M221"/>
  <c r="L221"/>
  <c r="K221"/>
  <c r="N221" s="1"/>
  <c r="J221"/>
  <c r="I221"/>
  <c r="H221"/>
  <c r="N220"/>
  <c r="K220"/>
  <c r="H220"/>
  <c r="I220" s="1"/>
  <c r="L220" s="1"/>
  <c r="K219"/>
  <c r="N219" s="1"/>
  <c r="J219"/>
  <c r="M219" s="1"/>
  <c r="I219"/>
  <c r="L219" s="1"/>
  <c r="H219"/>
  <c r="N218"/>
  <c r="M218"/>
  <c r="L218"/>
  <c r="J218"/>
  <c r="I218"/>
  <c r="H218"/>
  <c r="K218" s="1"/>
  <c r="N217"/>
  <c r="K217"/>
  <c r="I217"/>
  <c r="L217" s="1"/>
  <c r="H217"/>
  <c r="J217" s="1"/>
  <c r="M217" s="1"/>
  <c r="K216"/>
  <c r="N216" s="1"/>
  <c r="J216"/>
  <c r="M216" s="1"/>
  <c r="H216"/>
  <c r="I216" s="1"/>
  <c r="L216" s="1"/>
  <c r="N215"/>
  <c r="M215"/>
  <c r="K215"/>
  <c r="J215"/>
  <c r="I215"/>
  <c r="L215" s="1"/>
  <c r="H215"/>
  <c r="N214"/>
  <c r="K214"/>
  <c r="H214"/>
  <c r="I214" s="1"/>
  <c r="L214" s="1"/>
  <c r="H213"/>
  <c r="K212"/>
  <c r="N212" s="1"/>
  <c r="J212"/>
  <c r="M212" s="1"/>
  <c r="I212"/>
  <c r="L212" s="1"/>
  <c r="H212"/>
  <c r="N211"/>
  <c r="M211"/>
  <c r="K211"/>
  <c r="J211"/>
  <c r="I211"/>
  <c r="L211" s="1"/>
  <c r="H211"/>
  <c r="N210"/>
  <c r="L210"/>
  <c r="K210"/>
  <c r="J210"/>
  <c r="M210" s="1"/>
  <c r="I210"/>
  <c r="H210"/>
  <c r="L209"/>
  <c r="K209"/>
  <c r="N209" s="1"/>
  <c r="J209"/>
  <c r="M209" s="1"/>
  <c r="I209"/>
  <c r="H209"/>
  <c r="K208"/>
  <c r="N208" s="1"/>
  <c r="J208"/>
  <c r="M208" s="1"/>
  <c r="H208"/>
  <c r="I208" s="1"/>
  <c r="L208" s="1"/>
  <c r="N207"/>
  <c r="L207"/>
  <c r="K207"/>
  <c r="I207"/>
  <c r="H207"/>
  <c r="J207" s="1"/>
  <c r="M207" s="1"/>
  <c r="H206"/>
  <c r="I206" s="1"/>
  <c r="L206" s="1"/>
  <c r="I205"/>
  <c r="L205" s="1"/>
  <c r="H205"/>
  <c r="J205" s="1"/>
  <c r="M205" s="1"/>
  <c r="N204"/>
  <c r="L204"/>
  <c r="K204"/>
  <c r="J204"/>
  <c r="M204" s="1"/>
  <c r="I204"/>
  <c r="H204"/>
  <c r="M203"/>
  <c r="K203"/>
  <c r="N203" s="1"/>
  <c r="J203"/>
  <c r="H203"/>
  <c r="I203" s="1"/>
  <c r="L203" s="1"/>
  <c r="M202"/>
  <c r="K202"/>
  <c r="N202" s="1"/>
  <c r="J202"/>
  <c r="H202"/>
  <c r="I202" s="1"/>
  <c r="L202" s="1"/>
  <c r="M201"/>
  <c r="I201"/>
  <c r="L201" s="1"/>
  <c r="H201"/>
  <c r="J201" s="1"/>
  <c r="M200"/>
  <c r="J200"/>
  <c r="H200"/>
  <c r="I200" s="1"/>
  <c r="L200" s="1"/>
  <c r="J199"/>
  <c r="M199" s="1"/>
  <c r="I199"/>
  <c r="L199" s="1"/>
  <c r="H199"/>
  <c r="K199" s="1"/>
  <c r="N199" s="1"/>
  <c r="K198"/>
  <c r="N198" s="1"/>
  <c r="J198"/>
  <c r="M198" s="1"/>
  <c r="I198"/>
  <c r="L198" s="1"/>
  <c r="H198"/>
  <c r="M197"/>
  <c r="L197"/>
  <c r="K197"/>
  <c r="N197" s="1"/>
  <c r="J197"/>
  <c r="I197"/>
  <c r="H197"/>
  <c r="N196"/>
  <c r="K196"/>
  <c r="H196"/>
  <c r="I196" s="1"/>
  <c r="L196" s="1"/>
  <c r="L195"/>
  <c r="K195"/>
  <c r="N195" s="1"/>
  <c r="J195"/>
  <c r="M195" s="1"/>
  <c r="I195"/>
  <c r="H195"/>
  <c r="N194"/>
  <c r="M194"/>
  <c r="J194"/>
  <c r="I194"/>
  <c r="L194" s="1"/>
  <c r="H194"/>
  <c r="K194" s="1"/>
  <c r="N193"/>
  <c r="K193"/>
  <c r="I193"/>
  <c r="L193" s="1"/>
  <c r="H193"/>
  <c r="J193" s="1"/>
  <c r="M193" s="1"/>
  <c r="H192"/>
  <c r="I192" s="1"/>
  <c r="L192" s="1"/>
  <c r="N191"/>
  <c r="K191"/>
  <c r="J191"/>
  <c r="M191" s="1"/>
  <c r="I191"/>
  <c r="L191" s="1"/>
  <c r="H191"/>
  <c r="N190"/>
  <c r="K190"/>
  <c r="H190"/>
  <c r="I190" s="1"/>
  <c r="L190" s="1"/>
  <c r="H189"/>
  <c r="L188"/>
  <c r="K188"/>
  <c r="N188" s="1"/>
  <c r="J188"/>
  <c r="M188" s="1"/>
  <c r="I188"/>
  <c r="H188"/>
  <c r="N187"/>
  <c r="M187"/>
  <c r="K187"/>
  <c r="J187"/>
  <c r="I187"/>
  <c r="L187" s="1"/>
  <c r="H187"/>
  <c r="N186"/>
  <c r="L186"/>
  <c r="K186"/>
  <c r="J186"/>
  <c r="M186" s="1"/>
  <c r="I186"/>
  <c r="H186"/>
  <c r="L185"/>
  <c r="K185"/>
  <c r="N185" s="1"/>
  <c r="J185"/>
  <c r="M185" s="1"/>
  <c r="I185"/>
  <c r="H185"/>
  <c r="L184"/>
  <c r="K184"/>
  <c r="N184" s="1"/>
  <c r="J184"/>
  <c r="M184" s="1"/>
  <c r="H184"/>
  <c r="I184" s="1"/>
  <c r="N183"/>
  <c r="L183"/>
  <c r="K183"/>
  <c r="I183"/>
  <c r="H183"/>
  <c r="J183" s="1"/>
  <c r="M183" s="1"/>
  <c r="I182"/>
  <c r="L182" s="1"/>
  <c r="H182"/>
  <c r="J181"/>
  <c r="M181" s="1"/>
  <c r="I181"/>
  <c r="L181" s="1"/>
  <c r="H181"/>
  <c r="K181" s="1"/>
  <c r="N181" s="1"/>
  <c r="N180"/>
  <c r="L180"/>
  <c r="K180"/>
  <c r="J180"/>
  <c r="M180" s="1"/>
  <c r="I180"/>
  <c r="H180"/>
  <c r="M179"/>
  <c r="K179"/>
  <c r="N179" s="1"/>
  <c r="J179"/>
  <c r="H179"/>
  <c r="I179" s="1"/>
  <c r="L179" s="1"/>
  <c r="H178"/>
  <c r="I178" s="1"/>
  <c r="L178" s="1"/>
  <c r="H177"/>
  <c r="J177" s="1"/>
  <c r="M177" s="1"/>
  <c r="M176"/>
  <c r="J176"/>
  <c r="H176"/>
  <c r="I176" s="1"/>
  <c r="L176" s="1"/>
  <c r="J175"/>
  <c r="M175" s="1"/>
  <c r="I175"/>
  <c r="L175" s="1"/>
  <c r="H175"/>
  <c r="K175" s="1"/>
  <c r="N175" s="1"/>
  <c r="L174"/>
  <c r="K174"/>
  <c r="N174" s="1"/>
  <c r="J174"/>
  <c r="M174" s="1"/>
  <c r="I174"/>
  <c r="H174"/>
  <c r="M173"/>
  <c r="L173"/>
  <c r="K173"/>
  <c r="N173" s="1"/>
  <c r="J173"/>
  <c r="I173"/>
  <c r="H173"/>
  <c r="N172"/>
  <c r="K172"/>
  <c r="H172"/>
  <c r="I172" s="1"/>
  <c r="L172" s="1"/>
  <c r="M171"/>
  <c r="L171"/>
  <c r="K171"/>
  <c r="N171" s="1"/>
  <c r="J171"/>
  <c r="I171"/>
  <c r="H171"/>
  <c r="N170"/>
  <c r="J170"/>
  <c r="M170" s="1"/>
  <c r="I170"/>
  <c r="L170" s="1"/>
  <c r="H170"/>
  <c r="K170" s="1"/>
  <c r="N169"/>
  <c r="K169"/>
  <c r="I169"/>
  <c r="L169" s="1"/>
  <c r="H169"/>
  <c r="J169" s="1"/>
  <c r="M169" s="1"/>
  <c r="I168"/>
  <c r="L168" s="1"/>
  <c r="H168"/>
  <c r="J168" s="1"/>
  <c r="M168" s="1"/>
  <c r="K167"/>
  <c r="N167" s="1"/>
  <c r="J167"/>
  <c r="M167" s="1"/>
  <c r="I167"/>
  <c r="L167" s="1"/>
  <c r="H167"/>
  <c r="N166"/>
  <c r="K166"/>
  <c r="H166"/>
  <c r="I166" s="1"/>
  <c r="L166" s="1"/>
  <c r="H165"/>
  <c r="M164"/>
  <c r="L164"/>
  <c r="K164"/>
  <c r="N164" s="1"/>
  <c r="J164"/>
  <c r="I164"/>
  <c r="H164"/>
  <c r="N163"/>
  <c r="K163"/>
  <c r="J163"/>
  <c r="M163" s="1"/>
  <c r="I163"/>
  <c r="L163" s="1"/>
  <c r="H163"/>
  <c r="N162"/>
  <c r="L162"/>
  <c r="K162"/>
  <c r="J162"/>
  <c r="M162" s="1"/>
  <c r="I162"/>
  <c r="H162"/>
  <c r="L161"/>
  <c r="K161"/>
  <c r="N161" s="1"/>
  <c r="J161"/>
  <c r="M161" s="1"/>
  <c r="I161"/>
  <c r="H161"/>
  <c r="M160"/>
  <c r="L160"/>
  <c r="K160"/>
  <c r="N160" s="1"/>
  <c r="J160"/>
  <c r="H160"/>
  <c r="I160" s="1"/>
  <c r="N159"/>
  <c r="L159"/>
  <c r="K159"/>
  <c r="I159"/>
  <c r="H159"/>
  <c r="J159" s="1"/>
  <c r="M159" s="1"/>
  <c r="I158"/>
  <c r="L158" s="1"/>
  <c r="H158"/>
  <c r="K157"/>
  <c r="N157" s="1"/>
  <c r="J157"/>
  <c r="M157" s="1"/>
  <c r="I157"/>
  <c r="L157" s="1"/>
  <c r="H157"/>
  <c r="N156"/>
  <c r="L156"/>
  <c r="K156"/>
  <c r="J156"/>
  <c r="M156" s="1"/>
  <c r="I156"/>
  <c r="H156"/>
  <c r="M155"/>
  <c r="K155"/>
  <c r="N155" s="1"/>
  <c r="J155"/>
  <c r="H155"/>
  <c r="I155" s="1"/>
  <c r="L155" s="1"/>
  <c r="I154"/>
  <c r="L154" s="1"/>
  <c r="H154"/>
  <c r="J154" s="1"/>
  <c r="M154" s="1"/>
  <c r="I153"/>
  <c r="L153" s="1"/>
  <c r="H153"/>
  <c r="J153" s="1"/>
  <c r="M153" s="1"/>
  <c r="M152"/>
  <c r="J152"/>
  <c r="H152"/>
  <c r="I152" s="1"/>
  <c r="L152" s="1"/>
  <c r="J151"/>
  <c r="M151" s="1"/>
  <c r="I151"/>
  <c r="L151" s="1"/>
  <c r="H151"/>
  <c r="K151" s="1"/>
  <c r="N151" s="1"/>
  <c r="M150"/>
  <c r="L150"/>
  <c r="K150"/>
  <c r="N150" s="1"/>
  <c r="J150"/>
  <c r="I150"/>
  <c r="H150"/>
  <c r="M149"/>
  <c r="L149"/>
  <c r="K149"/>
  <c r="N149" s="1"/>
  <c r="J149"/>
  <c r="I149"/>
  <c r="H149"/>
  <c r="N148"/>
  <c r="K148"/>
  <c r="H148"/>
  <c r="I148" s="1"/>
  <c r="L148" s="1"/>
  <c r="N147"/>
  <c r="M147"/>
  <c r="L147"/>
  <c r="K147"/>
  <c r="J147"/>
  <c r="I147"/>
  <c r="H147"/>
  <c r="L146"/>
  <c r="J146"/>
  <c r="M146" s="1"/>
  <c r="I146"/>
  <c r="H146"/>
  <c r="K146" s="1"/>
  <c r="N146" s="1"/>
  <c r="N145"/>
  <c r="K145"/>
  <c r="I145"/>
  <c r="L145" s="1"/>
  <c r="H145"/>
  <c r="J145" s="1"/>
  <c r="M145" s="1"/>
  <c r="K144"/>
  <c r="N144" s="1"/>
  <c r="J144"/>
  <c r="M144" s="1"/>
  <c r="I144"/>
  <c r="L144" s="1"/>
  <c r="H144"/>
  <c r="K143"/>
  <c r="N143" s="1"/>
  <c r="J143"/>
  <c r="M143" s="1"/>
  <c r="I143"/>
  <c r="L143" s="1"/>
  <c r="H143"/>
  <c r="N142"/>
  <c r="K142"/>
  <c r="H142"/>
  <c r="I142" s="1"/>
  <c r="L142" s="1"/>
  <c r="H141"/>
  <c r="N140"/>
  <c r="M140"/>
  <c r="K140"/>
  <c r="J140"/>
  <c r="H140"/>
  <c r="I140" s="1"/>
  <c r="L140" s="1"/>
  <c r="K139"/>
  <c r="N139" s="1"/>
  <c r="J139"/>
  <c r="M139" s="1"/>
  <c r="I139"/>
  <c r="L139" s="1"/>
  <c r="H139"/>
  <c r="N138"/>
  <c r="L138"/>
  <c r="K138"/>
  <c r="J138"/>
  <c r="M138" s="1"/>
  <c r="I138"/>
  <c r="H138"/>
  <c r="L137"/>
  <c r="K137"/>
  <c r="N137" s="1"/>
  <c r="J137"/>
  <c r="M137" s="1"/>
  <c r="I137"/>
  <c r="H137"/>
  <c r="N136"/>
  <c r="M136"/>
  <c r="L136"/>
  <c r="K136"/>
  <c r="J136"/>
  <c r="H136"/>
  <c r="I136" s="1"/>
  <c r="N135"/>
  <c r="L135"/>
  <c r="K135"/>
  <c r="I135"/>
  <c r="H135"/>
  <c r="J135" s="1"/>
  <c r="M135" s="1"/>
  <c r="I134"/>
  <c r="L134" s="1"/>
  <c r="H134"/>
  <c r="L133"/>
  <c r="K133"/>
  <c r="N133" s="1"/>
  <c r="J133"/>
  <c r="M133" s="1"/>
  <c r="I133"/>
  <c r="H133"/>
  <c r="N132"/>
  <c r="L132"/>
  <c r="K132"/>
  <c r="J132"/>
  <c r="M132" s="1"/>
  <c r="I132"/>
  <c r="H132"/>
  <c r="M131"/>
  <c r="K131"/>
  <c r="N131" s="1"/>
  <c r="J131"/>
  <c r="H131"/>
  <c r="I131" s="1"/>
  <c r="L131" s="1"/>
  <c r="K130"/>
  <c r="N130" s="1"/>
  <c r="J130"/>
  <c r="M130" s="1"/>
  <c r="I130"/>
  <c r="L130" s="1"/>
  <c r="H130"/>
  <c r="K129"/>
  <c r="N129" s="1"/>
  <c r="I129"/>
  <c r="L129" s="1"/>
  <c r="H129"/>
  <c r="J129" s="1"/>
  <c r="M129" s="1"/>
  <c r="M128"/>
  <c r="J128"/>
  <c r="H128"/>
  <c r="I128" s="1"/>
  <c r="L128" s="1"/>
  <c r="J127"/>
  <c r="M127" s="1"/>
  <c r="I127"/>
  <c r="L127" s="1"/>
  <c r="H127"/>
  <c r="K127" s="1"/>
  <c r="N127" s="1"/>
  <c r="N126"/>
  <c r="M126"/>
  <c r="L126"/>
  <c r="K126"/>
  <c r="J126"/>
  <c r="I126"/>
  <c r="H126"/>
  <c r="M125"/>
  <c r="L125"/>
  <c r="K125"/>
  <c r="N125" s="1"/>
  <c r="J125"/>
  <c r="I125"/>
  <c r="H125"/>
  <c r="N124"/>
  <c r="K124"/>
  <c r="H124"/>
  <c r="I124" s="1"/>
  <c r="L124" s="1"/>
  <c r="N123"/>
  <c r="M123"/>
  <c r="L123"/>
  <c r="K123"/>
  <c r="J123"/>
  <c r="I123"/>
  <c r="H123"/>
  <c r="M122"/>
  <c r="L122"/>
  <c r="J122"/>
  <c r="I122"/>
  <c r="H122"/>
  <c r="K122" s="1"/>
  <c r="N122" s="1"/>
  <c r="N121"/>
  <c r="K121"/>
  <c r="I121"/>
  <c r="L121" s="1"/>
  <c r="H121"/>
  <c r="J121" s="1"/>
  <c r="M121" s="1"/>
  <c r="K120"/>
  <c r="N120" s="1"/>
  <c r="J120"/>
  <c r="M120" s="1"/>
  <c r="I120"/>
  <c r="L120" s="1"/>
  <c r="H120"/>
  <c r="L119"/>
  <c r="K119"/>
  <c r="N119" s="1"/>
  <c r="J119"/>
  <c r="M119" s="1"/>
  <c r="I119"/>
  <c r="H119"/>
  <c r="N118"/>
  <c r="K118"/>
  <c r="H118"/>
  <c r="I118" s="1"/>
  <c r="L118" s="1"/>
  <c r="H117"/>
  <c r="N116"/>
  <c r="M116"/>
  <c r="L116"/>
  <c r="K116"/>
  <c r="J116"/>
  <c r="I116"/>
  <c r="H116"/>
  <c r="M115"/>
  <c r="K115"/>
  <c r="N115" s="1"/>
  <c r="J115"/>
  <c r="I115"/>
  <c r="L115" s="1"/>
  <c r="H115"/>
  <c r="N114"/>
  <c r="L114"/>
  <c r="K114"/>
  <c r="J114"/>
  <c r="M114" s="1"/>
  <c r="I114"/>
  <c r="H114"/>
  <c r="H113"/>
  <c r="I113" s="1"/>
  <c r="L113" s="1"/>
  <c r="N112"/>
  <c r="M112"/>
  <c r="L112"/>
  <c r="K112"/>
  <c r="J112"/>
  <c r="H112"/>
  <c r="I112" s="1"/>
  <c r="N111"/>
  <c r="L111"/>
  <c r="K111"/>
  <c r="I111"/>
  <c r="H111"/>
  <c r="J111" s="1"/>
  <c r="M111" s="1"/>
  <c r="H110"/>
  <c r="I110" s="1"/>
  <c r="L110" s="1"/>
  <c r="M109"/>
  <c r="L109"/>
  <c r="K109"/>
  <c r="N109" s="1"/>
  <c r="J109"/>
  <c r="I109"/>
  <c r="H109"/>
  <c r="N108"/>
  <c r="L108"/>
  <c r="K108"/>
  <c r="J108"/>
  <c r="M108" s="1"/>
  <c r="I108"/>
  <c r="H108"/>
  <c r="M107"/>
  <c r="K107"/>
  <c r="N107" s="1"/>
  <c r="J107"/>
  <c r="H107"/>
  <c r="I107" s="1"/>
  <c r="L107" s="1"/>
  <c r="L106"/>
  <c r="K106"/>
  <c r="N106" s="1"/>
  <c r="J106"/>
  <c r="M106" s="1"/>
  <c r="I106"/>
  <c r="H106"/>
  <c r="L105"/>
  <c r="K105"/>
  <c r="N105" s="1"/>
  <c r="I105"/>
  <c r="H105"/>
  <c r="J105" s="1"/>
  <c r="M105" s="1"/>
  <c r="M104"/>
  <c r="J104"/>
  <c r="H104"/>
  <c r="I104" s="1"/>
  <c r="L104" s="1"/>
  <c r="H103"/>
  <c r="K103" s="1"/>
  <c r="N103" s="1"/>
  <c r="N102"/>
  <c r="M102"/>
  <c r="L102"/>
  <c r="K102"/>
  <c r="J102"/>
  <c r="I102"/>
  <c r="H102"/>
  <c r="M101"/>
  <c r="L101"/>
  <c r="K101"/>
  <c r="N101" s="1"/>
  <c r="J101"/>
  <c r="I101"/>
  <c r="H101"/>
  <c r="N100"/>
  <c r="K100"/>
  <c r="H100"/>
  <c r="I100" s="1"/>
  <c r="L100" s="1"/>
  <c r="N99"/>
  <c r="M99"/>
  <c r="L99"/>
  <c r="K99"/>
  <c r="J99"/>
  <c r="I99"/>
  <c r="H99"/>
  <c r="N98"/>
  <c r="M98"/>
  <c r="L98"/>
  <c r="J98"/>
  <c r="I98"/>
  <c r="H98"/>
  <c r="K98" s="1"/>
  <c r="N97"/>
  <c r="K97"/>
  <c r="I97"/>
  <c r="L97" s="1"/>
  <c r="H97"/>
  <c r="J97" s="1"/>
  <c r="M97" s="1"/>
  <c r="K96"/>
  <c r="N96" s="1"/>
  <c r="H96"/>
  <c r="I96" s="1"/>
  <c r="L96" s="1"/>
  <c r="M95"/>
  <c r="L95"/>
  <c r="K95"/>
  <c r="N95" s="1"/>
  <c r="J95"/>
  <c r="I95"/>
  <c r="H95"/>
  <c r="N94"/>
  <c r="K94"/>
  <c r="H94"/>
  <c r="I94" s="1"/>
  <c r="L94" s="1"/>
  <c r="H93"/>
  <c r="N92"/>
  <c r="M92"/>
  <c r="K92"/>
  <c r="J92"/>
  <c r="H92"/>
  <c r="I92" s="1"/>
  <c r="L92" s="1"/>
  <c r="N91"/>
  <c r="M91"/>
  <c r="K91"/>
  <c r="J91"/>
  <c r="I91"/>
  <c r="L91" s="1"/>
  <c r="H91"/>
  <c r="N90"/>
  <c r="L90"/>
  <c r="K90"/>
  <c r="J90"/>
  <c r="M90" s="1"/>
  <c r="I90"/>
  <c r="H90"/>
  <c r="I89"/>
  <c r="L89" s="1"/>
  <c r="H89"/>
  <c r="J89" s="1"/>
  <c r="M89" s="1"/>
  <c r="N88"/>
  <c r="M88"/>
  <c r="L88"/>
  <c r="K88"/>
  <c r="J88"/>
  <c r="H88"/>
  <c r="I88" s="1"/>
  <c r="N87"/>
  <c r="L87"/>
  <c r="K87"/>
  <c r="I87"/>
  <c r="H87"/>
  <c r="J87" s="1"/>
  <c r="M87" s="1"/>
  <c r="I86"/>
  <c r="L86" s="1"/>
  <c r="H86"/>
  <c r="N85"/>
  <c r="M85"/>
  <c r="L85"/>
  <c r="K85"/>
  <c r="J85"/>
  <c r="I85"/>
  <c r="H85"/>
  <c r="L84"/>
  <c r="K84"/>
  <c r="N84" s="1"/>
  <c r="J84"/>
  <c r="M84" s="1"/>
  <c r="I84"/>
  <c r="H84"/>
  <c r="M83"/>
  <c r="K83"/>
  <c r="N83" s="1"/>
  <c r="J83"/>
  <c r="H83"/>
  <c r="I83" s="1"/>
  <c r="L83" s="1"/>
  <c r="K82"/>
  <c r="N82" s="1"/>
  <c r="H82"/>
  <c r="I82" s="1"/>
  <c r="L82" s="1"/>
  <c r="M81"/>
  <c r="L81"/>
  <c r="K81"/>
  <c r="N81" s="1"/>
  <c r="I81"/>
  <c r="H81"/>
  <c r="J81" s="1"/>
  <c r="M80"/>
  <c r="J80"/>
  <c r="H80"/>
  <c r="I80" s="1"/>
  <c r="L80" s="1"/>
  <c r="I79"/>
  <c r="L79" s="1"/>
  <c r="H79"/>
  <c r="K79" s="1"/>
  <c r="N79" s="1"/>
  <c r="N78"/>
  <c r="M78"/>
  <c r="K78"/>
  <c r="J78"/>
  <c r="H78"/>
  <c r="I78" s="1"/>
  <c r="L78" s="1"/>
  <c r="M77"/>
  <c r="L77"/>
  <c r="K77"/>
  <c r="N77" s="1"/>
  <c r="J77"/>
  <c r="I77"/>
  <c r="H77"/>
  <c r="N76"/>
  <c r="K76"/>
  <c r="H76"/>
  <c r="I76" s="1"/>
  <c r="L76" s="1"/>
  <c r="H75"/>
  <c r="I75" s="1"/>
  <c r="L75" s="1"/>
  <c r="N74"/>
  <c r="M74"/>
  <c r="L74"/>
  <c r="J74"/>
  <c r="I74"/>
  <c r="H74"/>
  <c r="K74" s="1"/>
  <c r="N73"/>
  <c r="K73"/>
  <c r="I73"/>
  <c r="L73" s="1"/>
  <c r="H73"/>
  <c r="J73" s="1"/>
  <c r="M73" s="1"/>
  <c r="I72"/>
  <c r="L72" s="1"/>
  <c r="H72"/>
  <c r="J72" s="1"/>
  <c r="M72" s="1"/>
  <c r="N71"/>
  <c r="M71"/>
  <c r="L71"/>
  <c r="K71"/>
  <c r="J71"/>
  <c r="I71"/>
  <c r="H71"/>
  <c r="N70"/>
  <c r="K70"/>
  <c r="H70"/>
  <c r="I70" s="1"/>
  <c r="L70" s="1"/>
  <c r="H69"/>
  <c r="H68"/>
  <c r="I68" s="1"/>
  <c r="L68" s="1"/>
  <c r="N67"/>
  <c r="K67"/>
  <c r="J67"/>
  <c r="M67" s="1"/>
  <c r="I67"/>
  <c r="L67" s="1"/>
  <c r="H67"/>
  <c r="N66"/>
  <c r="L66"/>
  <c r="K66"/>
  <c r="J66"/>
  <c r="M66" s="1"/>
  <c r="I66"/>
  <c r="H66"/>
  <c r="J65"/>
  <c r="M65" s="1"/>
  <c r="I65"/>
  <c r="L65" s="1"/>
  <c r="H65"/>
  <c r="K65" s="1"/>
  <c r="N65" s="1"/>
  <c r="N64"/>
  <c r="L64"/>
  <c r="K64"/>
  <c r="H64"/>
  <c r="I64" s="1"/>
  <c r="N63"/>
  <c r="L63"/>
  <c r="K63"/>
  <c r="I63"/>
  <c r="H63"/>
  <c r="J63" s="1"/>
  <c r="M63" s="1"/>
  <c r="H62"/>
  <c r="N61"/>
  <c r="M61"/>
  <c r="L61"/>
  <c r="K61"/>
  <c r="J61"/>
  <c r="I61"/>
  <c r="H61"/>
  <c r="L60"/>
  <c r="K60"/>
  <c r="N60" s="1"/>
  <c r="J60"/>
  <c r="M60" s="1"/>
  <c r="I60"/>
  <c r="H60"/>
  <c r="M59"/>
  <c r="K59"/>
  <c r="N59" s="1"/>
  <c r="J59"/>
  <c r="H59"/>
  <c r="I59" s="1"/>
  <c r="L59" s="1"/>
  <c r="L58"/>
  <c r="I58"/>
  <c r="H58"/>
  <c r="J58" s="1"/>
  <c r="M58" s="1"/>
  <c r="N57"/>
  <c r="M57"/>
  <c r="L57"/>
  <c r="K57"/>
  <c r="I57"/>
  <c r="H57"/>
  <c r="J57" s="1"/>
  <c r="M56"/>
  <c r="J56"/>
  <c r="H56"/>
  <c r="I56" s="1"/>
  <c r="L56" s="1"/>
  <c r="J55"/>
  <c r="M55" s="1"/>
  <c r="I55"/>
  <c r="L55" s="1"/>
  <c r="H55"/>
  <c r="K55" s="1"/>
  <c r="N55" s="1"/>
  <c r="H54"/>
  <c r="I54" s="1"/>
  <c r="L54" s="1"/>
  <c r="M53"/>
  <c r="L53"/>
  <c r="K53"/>
  <c r="N53" s="1"/>
  <c r="J53"/>
  <c r="I53"/>
  <c r="H53"/>
  <c r="N52"/>
  <c r="K52"/>
  <c r="H52"/>
  <c r="I52" s="1"/>
  <c r="L52" s="1"/>
  <c r="I51"/>
  <c r="L51" s="1"/>
  <c r="H51"/>
  <c r="J51" s="1"/>
  <c r="M51" s="1"/>
  <c r="N50"/>
  <c r="M50"/>
  <c r="L50"/>
  <c r="J50"/>
  <c r="I50"/>
  <c r="H50"/>
  <c r="K50" s="1"/>
  <c r="N49"/>
  <c r="K49"/>
  <c r="I49"/>
  <c r="L49" s="1"/>
  <c r="H49"/>
  <c r="J49" s="1"/>
  <c r="M49" s="1"/>
  <c r="H48"/>
  <c r="I48" s="1"/>
  <c r="L48" s="1"/>
  <c r="N47"/>
  <c r="M47"/>
  <c r="L47"/>
  <c r="K47"/>
  <c r="J47"/>
  <c r="I47"/>
  <c r="H47"/>
  <c r="N46"/>
  <c r="K46"/>
  <c r="H46"/>
  <c r="I46" s="1"/>
  <c r="L46" s="1"/>
  <c r="H45"/>
  <c r="M44"/>
  <c r="J44"/>
  <c r="I44"/>
  <c r="L44" s="1"/>
  <c r="H44"/>
  <c r="K44" s="1"/>
  <c r="N44" s="1"/>
  <c r="K43"/>
  <c r="N43" s="1"/>
  <c r="J43"/>
  <c r="M43" s="1"/>
  <c r="I43"/>
  <c r="L43" s="1"/>
  <c r="H43"/>
  <c r="N42"/>
  <c r="L42"/>
  <c r="K42"/>
  <c r="J42"/>
  <c r="M42" s="1"/>
  <c r="I42"/>
  <c r="H42"/>
  <c r="K41"/>
  <c r="N41" s="1"/>
  <c r="J41"/>
  <c r="M41" s="1"/>
  <c r="I41"/>
  <c r="L41" s="1"/>
  <c r="H41"/>
  <c r="H40"/>
  <c r="I40" s="1"/>
  <c r="L40" s="1"/>
  <c r="N39"/>
  <c r="L39"/>
  <c r="K39"/>
  <c r="I39"/>
  <c r="H39"/>
  <c r="J39" s="1"/>
  <c r="M39" s="1"/>
  <c r="I38"/>
  <c r="L38" s="1"/>
  <c r="H38"/>
  <c r="N37"/>
  <c r="M37"/>
  <c r="L37"/>
  <c r="K37"/>
  <c r="J37"/>
  <c r="I37"/>
  <c r="H37"/>
  <c r="N36"/>
  <c r="L36"/>
  <c r="K36"/>
  <c r="J36"/>
  <c r="M36" s="1"/>
  <c r="I36"/>
  <c r="H36"/>
  <c r="M35"/>
  <c r="K35"/>
  <c r="N35" s="1"/>
  <c r="J35"/>
  <c r="H35"/>
  <c r="I35" s="1"/>
  <c r="L35" s="1"/>
  <c r="H34"/>
  <c r="I34" s="1"/>
  <c r="L34" s="1"/>
  <c r="N33"/>
  <c r="M33"/>
  <c r="L33"/>
  <c r="K33"/>
  <c r="I33"/>
  <c r="H33"/>
  <c r="J33" s="1"/>
  <c r="M32"/>
  <c r="J32"/>
  <c r="H32"/>
  <c r="I32" s="1"/>
  <c r="L32" s="1"/>
  <c r="J31"/>
  <c r="M31" s="1"/>
  <c r="I31"/>
  <c r="L31" s="1"/>
  <c r="H31"/>
  <c r="K31" s="1"/>
  <c r="N31" s="1"/>
  <c r="M30"/>
  <c r="J30"/>
  <c r="I30"/>
  <c r="L30" s="1"/>
  <c r="H30"/>
  <c r="K30" s="1"/>
  <c r="N30" s="1"/>
  <c r="M29"/>
  <c r="L29"/>
  <c r="K29"/>
  <c r="N29" s="1"/>
  <c r="J29"/>
  <c r="I29"/>
  <c r="H29"/>
  <c r="N28"/>
  <c r="K28"/>
  <c r="H28"/>
  <c r="I28" s="1"/>
  <c r="L28" s="1"/>
  <c r="J27"/>
  <c r="M27" s="1"/>
  <c r="I27"/>
  <c r="L27" s="1"/>
  <c r="H27"/>
  <c r="K27" s="1"/>
  <c r="N27" s="1"/>
  <c r="N26"/>
  <c r="M26"/>
  <c r="L26"/>
  <c r="J26"/>
  <c r="I26"/>
  <c r="H26"/>
  <c r="K26" s="1"/>
  <c r="N25"/>
  <c r="K25"/>
  <c r="I25"/>
  <c r="L25" s="1"/>
  <c r="H25"/>
  <c r="J25" s="1"/>
  <c r="M25" s="1"/>
  <c r="I24"/>
  <c r="L24" s="1"/>
  <c r="H24"/>
  <c r="J24" s="1"/>
  <c r="M24" s="1"/>
  <c r="N23"/>
  <c r="M23"/>
  <c r="L23"/>
  <c r="K23"/>
  <c r="J23"/>
  <c r="I23"/>
  <c r="H23"/>
  <c r="N22"/>
  <c r="K22"/>
  <c r="H22"/>
  <c r="I22" s="1"/>
  <c r="L22" s="1"/>
  <c r="H21"/>
  <c r="N20"/>
  <c r="K20"/>
  <c r="J20"/>
  <c r="M20" s="1"/>
  <c r="I20"/>
  <c r="L20" s="1"/>
  <c r="H20"/>
  <c r="K19"/>
  <c r="N19" s="1"/>
  <c r="J19"/>
  <c r="M19" s="1"/>
  <c r="I19"/>
  <c r="L19" s="1"/>
  <c r="H19"/>
  <c r="N18"/>
  <c r="L18"/>
  <c r="K18"/>
  <c r="J18"/>
  <c r="M18" s="1"/>
  <c r="I18"/>
  <c r="H18"/>
  <c r="L17"/>
  <c r="K17"/>
  <c r="N17" s="1"/>
  <c r="J17"/>
  <c r="M17" s="1"/>
  <c r="I17"/>
  <c r="H17"/>
  <c r="N16"/>
  <c r="K16"/>
  <c r="J16"/>
  <c r="M16" s="1"/>
  <c r="H16"/>
  <c r="I16" s="1"/>
  <c r="L16" s="1"/>
  <c r="N15"/>
  <c r="L15"/>
  <c r="K15"/>
  <c r="I15"/>
  <c r="H15"/>
  <c r="J15" s="1"/>
  <c r="M15" s="1"/>
  <c r="I14"/>
  <c r="L14" s="1"/>
  <c r="H14"/>
  <c r="H13"/>
  <c r="I13" s="1"/>
  <c r="L13" s="1"/>
  <c r="N12"/>
  <c r="L12"/>
  <c r="K12"/>
  <c r="J12"/>
  <c r="M12" s="1"/>
  <c r="I12"/>
  <c r="H12"/>
  <c r="M11"/>
  <c r="K11"/>
  <c r="N11" s="1"/>
  <c r="J11"/>
  <c r="H11"/>
  <c r="I11" s="1"/>
  <c r="L11" s="1"/>
  <c r="I10"/>
  <c r="L10" s="1"/>
  <c r="H10"/>
  <c r="J10" s="1"/>
  <c r="M10" s="1"/>
  <c r="N9"/>
  <c r="M9"/>
  <c r="L9"/>
  <c r="K9"/>
  <c r="I9"/>
  <c r="H9"/>
  <c r="J9" s="1"/>
  <c r="M8"/>
  <c r="J8"/>
  <c r="H8"/>
  <c r="I8" s="1"/>
  <c r="L8" s="1"/>
  <c r="J7"/>
  <c r="M7" s="1"/>
  <c r="I7"/>
  <c r="L7" s="1"/>
  <c r="H7"/>
  <c r="K7" s="1"/>
  <c r="N7" s="1"/>
  <c r="K6"/>
  <c r="N6" s="1"/>
  <c r="J6"/>
  <c r="M6" s="1"/>
  <c r="I6"/>
  <c r="L6" s="1"/>
  <c r="H6"/>
  <c r="M5"/>
  <c r="L5"/>
  <c r="K5"/>
  <c r="N5" s="1"/>
  <c r="J5"/>
  <c r="I5"/>
  <c r="H5"/>
  <c r="N4"/>
  <c r="K4"/>
  <c r="H4"/>
  <c r="I4" s="1"/>
  <c r="L4" s="1"/>
  <c r="G1258"/>
  <c r="G1257"/>
  <c r="G1256"/>
  <c r="G1255"/>
  <c r="G1254"/>
  <c r="G1253"/>
  <c r="G1252"/>
  <c r="G1251"/>
  <c r="G1250"/>
  <c r="G1249"/>
  <c r="G1248"/>
  <c r="G1247"/>
  <c r="G1246"/>
  <c r="G1245"/>
  <c r="G1244"/>
  <c r="G1243"/>
  <c r="G1242"/>
  <c r="G1241"/>
  <c r="G1240"/>
  <c r="G1239"/>
  <c r="G1238"/>
  <c r="G1237"/>
  <c r="G1236"/>
  <c r="G1235"/>
  <c r="G1234"/>
  <c r="G1233"/>
  <c r="G1232"/>
  <c r="G1231"/>
  <c r="G1230"/>
  <c r="G1229"/>
  <c r="G1228"/>
  <c r="G1227"/>
  <c r="G1226"/>
  <c r="G1225"/>
  <c r="G1224"/>
  <c r="G1223"/>
  <c r="G1222"/>
  <c r="G1221"/>
  <c r="G1220"/>
  <c r="G1219"/>
  <c r="G1218"/>
  <c r="G1217"/>
  <c r="G1216"/>
  <c r="G1215"/>
  <c r="G1214"/>
  <c r="G1213"/>
  <c r="G1212"/>
  <c r="G1211"/>
  <c r="G1210"/>
  <c r="G1209"/>
  <c r="G1208"/>
  <c r="G1207"/>
  <c r="G1206"/>
  <c r="G1205"/>
  <c r="G1204"/>
  <c r="G1203"/>
  <c r="G1202"/>
  <c r="G1201"/>
  <c r="G1200"/>
  <c r="G1199"/>
  <c r="G1198"/>
  <c r="G1197"/>
  <c r="G1196"/>
  <c r="G1195"/>
  <c r="G1194"/>
  <c r="G1193"/>
  <c r="G1192"/>
  <c r="G1191"/>
  <c r="G1190"/>
  <c r="G1189"/>
  <c r="G1188"/>
  <c r="G1187"/>
  <c r="G1186"/>
  <c r="G1185"/>
  <c r="G1184"/>
  <c r="G1183"/>
  <c r="G1182"/>
  <c r="G1181"/>
  <c r="G1180"/>
  <c r="G1179"/>
  <c r="G1178"/>
  <c r="G1177"/>
  <c r="G1176"/>
  <c r="G1175"/>
  <c r="G1174"/>
  <c r="G1173"/>
  <c r="G1172"/>
  <c r="G1171"/>
  <c r="G1170"/>
  <c r="G1169"/>
  <c r="G1168"/>
  <c r="G1167"/>
  <c r="G1166"/>
  <c r="G1165"/>
  <c r="G1164"/>
  <c r="G1163"/>
  <c r="G1162"/>
  <c r="G1161"/>
  <c r="G1160"/>
  <c r="G1159"/>
  <c r="G1158"/>
  <c r="G1157"/>
  <c r="G1156"/>
  <c r="G1155"/>
  <c r="G1154"/>
  <c r="G1153"/>
  <c r="G1152"/>
  <c r="G1151"/>
  <c r="G1150"/>
  <c r="G1149"/>
  <c r="G1148"/>
  <c r="G1147"/>
  <c r="G1146"/>
  <c r="G1145"/>
  <c r="G1144"/>
  <c r="G1143"/>
  <c r="G1142"/>
  <c r="G1141"/>
  <c r="G1140"/>
  <c r="G1139"/>
  <c r="G1138"/>
  <c r="G1137"/>
  <c r="G1136"/>
  <c r="G1135"/>
  <c r="G1134"/>
  <c r="G1133"/>
  <c r="G1132"/>
  <c r="G1131"/>
  <c r="G1130"/>
  <c r="G1129"/>
  <c r="G1128"/>
  <c r="G1127"/>
  <c r="G1126"/>
  <c r="G1125"/>
  <c r="G1124"/>
  <c r="G1123"/>
  <c r="G1122"/>
  <c r="G1121"/>
  <c r="G1120"/>
  <c r="G1119"/>
  <c r="G1118"/>
  <c r="G1117"/>
  <c r="G1116"/>
  <c r="G1115"/>
  <c r="G1114"/>
  <c r="G1113"/>
  <c r="G1112"/>
  <c r="G1111"/>
  <c r="G1110"/>
  <c r="G1109"/>
  <c r="G1108"/>
  <c r="G1107"/>
  <c r="G1106"/>
  <c r="G1105"/>
  <c r="G1104"/>
  <c r="G1103"/>
  <c r="G1102"/>
  <c r="G1101"/>
  <c r="G1100"/>
  <c r="G1099"/>
  <c r="G1098"/>
  <c r="G1097"/>
  <c r="G1096"/>
  <c r="G1095"/>
  <c r="G1094"/>
  <c r="G1093"/>
  <c r="G1092"/>
  <c r="G1091"/>
  <c r="G1090"/>
  <c r="G1089"/>
  <c r="G1088"/>
  <c r="G1087"/>
  <c r="G1086"/>
  <c r="G1085"/>
  <c r="G1084"/>
  <c r="G1083"/>
  <c r="G1082"/>
  <c r="G1081"/>
  <c r="G1080"/>
  <c r="G1079"/>
  <c r="G1078"/>
  <c r="G1077"/>
  <c r="G1076"/>
  <c r="G1075"/>
  <c r="G1074"/>
  <c r="G1073"/>
  <c r="G1072"/>
  <c r="G1071"/>
  <c r="G1070"/>
  <c r="G1069"/>
  <c r="G1068"/>
  <c r="G1067"/>
  <c r="G1066"/>
  <c r="G1065"/>
  <c r="G1064"/>
  <c r="G1063"/>
  <c r="G1062"/>
  <c r="G1061"/>
  <c r="G1060"/>
  <c r="G1059"/>
  <c r="G1058"/>
  <c r="G1057"/>
  <c r="G1056"/>
  <c r="G1055"/>
  <c r="G1054"/>
  <c r="G1053"/>
  <c r="G1052"/>
  <c r="G1051"/>
  <c r="G1050"/>
  <c r="G1049"/>
  <c r="G1048"/>
  <c r="G1047"/>
  <c r="G1046"/>
  <c r="G1045"/>
  <c r="G1044"/>
  <c r="G1043"/>
  <c r="G1042"/>
  <c r="G1041"/>
  <c r="G1040"/>
  <c r="G1039"/>
  <c r="G1038"/>
  <c r="G1037"/>
  <c r="G1036"/>
  <c r="G1035"/>
  <c r="G1034"/>
  <c r="G1033"/>
  <c r="G1032"/>
  <c r="G1031"/>
  <c r="G1030"/>
  <c r="G1029"/>
  <c r="G1028"/>
  <c r="G1027"/>
  <c r="G1026"/>
  <c r="G1025"/>
  <c r="G1024"/>
  <c r="G1023"/>
  <c r="G1022"/>
  <c r="G1021"/>
  <c r="G1020"/>
  <c r="G1019"/>
  <c r="G1018"/>
  <c r="G1017"/>
  <c r="G1016"/>
  <c r="G1015"/>
  <c r="G1014"/>
  <c r="G1013"/>
  <c r="G1012"/>
  <c r="G1011"/>
  <c r="G1010"/>
  <c r="G1009"/>
  <c r="G1008"/>
  <c r="G1007"/>
  <c r="G1006"/>
  <c r="G1005"/>
  <c r="G1004"/>
  <c r="G1003"/>
  <c r="G1002"/>
  <c r="G1001"/>
  <c r="G1000"/>
  <c r="G999"/>
  <c r="G998"/>
  <c r="G997"/>
  <c r="G996"/>
  <c r="G995"/>
  <c r="G994"/>
  <c r="G993"/>
  <c r="G992"/>
  <c r="G991"/>
  <c r="G990"/>
  <c r="G989"/>
  <c r="G988"/>
  <c r="G987"/>
  <c r="G986"/>
  <c r="G985"/>
  <c r="G984"/>
  <c r="G983"/>
  <c r="G982"/>
  <c r="G981"/>
  <c r="G980"/>
  <c r="G979"/>
  <c r="G978"/>
  <c r="G977"/>
  <c r="G976"/>
  <c r="G975"/>
  <c r="G974"/>
  <c r="G973"/>
  <c r="G972"/>
  <c r="G971"/>
  <c r="G970"/>
  <c r="G969"/>
  <c r="G968"/>
  <c r="G967"/>
  <c r="G966"/>
  <c r="G965"/>
  <c r="G964"/>
  <c r="G963"/>
  <c r="G962"/>
  <c r="G961"/>
  <c r="G960"/>
  <c r="G959"/>
  <c r="G958"/>
  <c r="G957"/>
  <c r="G956"/>
  <c r="G955"/>
  <c r="G954"/>
  <c r="G953"/>
  <c r="G952"/>
  <c r="G951"/>
  <c r="G950"/>
  <c r="G949"/>
  <c r="G948"/>
  <c r="G947"/>
  <c r="G946"/>
  <c r="G945"/>
  <c r="G944"/>
  <c r="G943"/>
  <c r="G942"/>
  <c r="G941"/>
  <c r="G940"/>
  <c r="G939"/>
  <c r="G938"/>
  <c r="G937"/>
  <c r="G936"/>
  <c r="G935"/>
  <c r="G934"/>
  <c r="G933"/>
  <c r="G932"/>
  <c r="G931"/>
  <c r="G930"/>
  <c r="G929"/>
  <c r="G928"/>
  <c r="G927"/>
  <c r="G926"/>
  <c r="G925"/>
  <c r="G924"/>
  <c r="G923"/>
  <c r="G922"/>
  <c r="G921"/>
  <c r="G920"/>
  <c r="G919"/>
  <c r="G918"/>
  <c r="G917"/>
  <c r="G916"/>
  <c r="G915"/>
  <c r="G914"/>
  <c r="G913"/>
  <c r="G912"/>
  <c r="G911"/>
  <c r="G910"/>
  <c r="G909"/>
  <c r="G908"/>
  <c r="G907"/>
  <c r="G906"/>
  <c r="G905"/>
  <c r="G904"/>
  <c r="G903"/>
  <c r="G902"/>
  <c r="G901"/>
  <c r="G900"/>
  <c r="G899"/>
  <c r="G898"/>
  <c r="G897"/>
  <c r="G896"/>
  <c r="G895"/>
  <c r="G894"/>
  <c r="G893"/>
  <c r="G892"/>
  <c r="G891"/>
  <c r="G890"/>
  <c r="G889"/>
  <c r="G888"/>
  <c r="G887"/>
  <c r="G886"/>
  <c r="G885"/>
  <c r="G884"/>
  <c r="G883"/>
  <c r="G882"/>
  <c r="G881"/>
  <c r="G880"/>
  <c r="G879"/>
  <c r="G878"/>
  <c r="G877"/>
  <c r="G876"/>
  <c r="G875"/>
  <c r="G874"/>
  <c r="G873"/>
  <c r="G872"/>
  <c r="G871"/>
  <c r="G870"/>
  <c r="G869"/>
  <c r="G868"/>
  <c r="G867"/>
  <c r="G866"/>
  <c r="G865"/>
  <c r="G864"/>
  <c r="G863"/>
  <c r="G862"/>
  <c r="G861"/>
  <c r="G860"/>
  <c r="G859"/>
  <c r="G858"/>
  <c r="G857"/>
  <c r="G856"/>
  <c r="G855"/>
  <c r="G854"/>
  <c r="G853"/>
  <c r="G852"/>
  <c r="G851"/>
  <c r="G850"/>
  <c r="G849"/>
  <c r="G848"/>
  <c r="G847"/>
  <c r="G846"/>
  <c r="G845"/>
  <c r="G844"/>
  <c r="G843"/>
  <c r="G842"/>
  <c r="G841"/>
  <c r="G840"/>
  <c r="G839"/>
  <c r="G838"/>
  <c r="G837"/>
  <c r="G836"/>
  <c r="G835"/>
  <c r="G834"/>
  <c r="G833"/>
  <c r="G832"/>
  <c r="G831"/>
  <c r="G830"/>
  <c r="G829"/>
  <c r="G828"/>
  <c r="G827"/>
  <c r="G826"/>
  <c r="G825"/>
  <c r="G824"/>
  <c r="G823"/>
  <c r="G822"/>
  <c r="G821"/>
  <c r="G820"/>
  <c r="G819"/>
  <c r="G818"/>
  <c r="G817"/>
  <c r="G816"/>
  <c r="G815"/>
  <c r="G814"/>
  <c r="G813"/>
  <c r="G812"/>
  <c r="G811"/>
  <c r="G810"/>
  <c r="G809"/>
  <c r="G808"/>
  <c r="G807"/>
  <c r="G806"/>
  <c r="G805"/>
  <c r="G804"/>
  <c r="G803"/>
  <c r="G802"/>
  <c r="G801"/>
  <c r="G800"/>
  <c r="G799"/>
  <c r="G798"/>
  <c r="G797"/>
  <c r="G796"/>
  <c r="G795"/>
  <c r="G794"/>
  <c r="G793"/>
  <c r="G792"/>
  <c r="G791"/>
  <c r="G790"/>
  <c r="G789"/>
  <c r="G788"/>
  <c r="G787"/>
  <c r="G786"/>
  <c r="G785"/>
  <c r="G784"/>
  <c r="G783"/>
  <c r="G782"/>
  <c r="G781"/>
  <c r="G780"/>
  <c r="G779"/>
  <c r="G778"/>
  <c r="G777"/>
  <c r="G776"/>
  <c r="G775"/>
  <c r="G774"/>
  <c r="G773"/>
  <c r="G772"/>
  <c r="G771"/>
  <c r="G770"/>
  <c r="G769"/>
  <c r="G768"/>
  <c r="G767"/>
  <c r="G766"/>
  <c r="G765"/>
  <c r="G764"/>
  <c r="G763"/>
  <c r="G762"/>
  <c r="G761"/>
  <c r="G760"/>
  <c r="G759"/>
  <c r="G758"/>
  <c r="G757"/>
  <c r="G756"/>
  <c r="G755"/>
  <c r="G754"/>
  <c r="G753"/>
  <c r="G752"/>
  <c r="G751"/>
  <c r="G750"/>
  <c r="G749"/>
  <c r="G748"/>
  <c r="G747"/>
  <c r="G746"/>
  <c r="G745"/>
  <c r="G744"/>
  <c r="G743"/>
  <c r="G742"/>
  <c r="G741"/>
  <c r="G740"/>
  <c r="G739"/>
  <c r="G738"/>
  <c r="G737"/>
  <c r="G736"/>
  <c r="G735"/>
  <c r="G734"/>
  <c r="G733"/>
  <c r="G732"/>
  <c r="G731"/>
  <c r="G730"/>
  <c r="G729"/>
  <c r="G728"/>
  <c r="G727"/>
  <c r="G726"/>
  <c r="G725"/>
  <c r="G724"/>
  <c r="G723"/>
  <c r="G722"/>
  <c r="G721"/>
  <c r="G720"/>
  <c r="G719"/>
  <c r="G718"/>
  <c r="G717"/>
  <c r="G716"/>
  <c r="G715"/>
  <c r="G714"/>
  <c r="G713"/>
  <c r="G712"/>
  <c r="G711"/>
  <c r="G710"/>
  <c r="G709"/>
  <c r="G708"/>
  <c r="G707"/>
  <c r="G706"/>
  <c r="G705"/>
  <c r="G704"/>
  <c r="G703"/>
  <c r="G702"/>
  <c r="G701"/>
  <c r="G700"/>
  <c r="G699"/>
  <c r="G698"/>
  <c r="G697"/>
  <c r="G696"/>
  <c r="G695"/>
  <c r="G694"/>
  <c r="G693"/>
  <c r="G692"/>
  <c r="G691"/>
  <c r="G690"/>
  <c r="G689"/>
  <c r="G688"/>
  <c r="G687"/>
  <c r="G686"/>
  <c r="G685"/>
  <c r="G684"/>
  <c r="G683"/>
  <c r="G682"/>
  <c r="G681"/>
  <c r="G680"/>
  <c r="G679"/>
  <c r="G678"/>
  <c r="G677"/>
  <c r="G676"/>
  <c r="G675"/>
  <c r="G674"/>
  <c r="G673"/>
  <c r="G672"/>
  <c r="G671"/>
  <c r="G670"/>
  <c r="G669"/>
  <c r="G668"/>
  <c r="G667"/>
  <c r="G666"/>
  <c r="G665"/>
  <c r="G664"/>
  <c r="G663"/>
  <c r="G662"/>
  <c r="G661"/>
  <c r="G660"/>
  <c r="G659"/>
  <c r="G658"/>
  <c r="G657"/>
  <c r="G656"/>
  <c r="G655"/>
  <c r="G654"/>
  <c r="G653"/>
  <c r="G652"/>
  <c r="G651"/>
  <c r="G650"/>
  <c r="G649"/>
  <c r="G648"/>
  <c r="G647"/>
  <c r="G646"/>
  <c r="G645"/>
  <c r="G644"/>
  <c r="G643"/>
  <c r="G642"/>
  <c r="G641"/>
  <c r="G640"/>
  <c r="G639"/>
  <c r="G638"/>
  <c r="G637"/>
  <c r="G636"/>
  <c r="G635"/>
  <c r="G634"/>
  <c r="G633"/>
  <c r="G632"/>
  <c r="G631"/>
  <c r="G630"/>
  <c r="G629"/>
  <c r="G628"/>
  <c r="G627"/>
  <c r="G626"/>
  <c r="G625"/>
  <c r="G624"/>
  <c r="G623"/>
  <c r="G622"/>
  <c r="G621"/>
  <c r="G620"/>
  <c r="G619"/>
  <c r="G618"/>
  <c r="G617"/>
  <c r="G616"/>
  <c r="G615"/>
  <c r="G614"/>
  <c r="G613"/>
  <c r="G612"/>
  <c r="G611"/>
  <c r="G610"/>
  <c r="G609"/>
  <c r="G608"/>
  <c r="G607"/>
  <c r="G606"/>
  <c r="G605"/>
  <c r="G604"/>
  <c r="G603"/>
  <c r="G602"/>
  <c r="G601"/>
  <c r="G600"/>
  <c r="G599"/>
  <c r="G598"/>
  <c r="G597"/>
  <c r="G596"/>
  <c r="G595"/>
  <c r="G594"/>
  <c r="G593"/>
  <c r="G592"/>
  <c r="G591"/>
  <c r="G590"/>
  <c r="G589"/>
  <c r="G588"/>
  <c r="G587"/>
  <c r="G586"/>
  <c r="G585"/>
  <c r="G584"/>
  <c r="G583"/>
  <c r="G582"/>
  <c r="G581"/>
  <c r="G580"/>
  <c r="G579"/>
  <c r="G578"/>
  <c r="G577"/>
  <c r="G576"/>
  <c r="G575"/>
  <c r="G574"/>
  <c r="G573"/>
  <c r="G572"/>
  <c r="G571"/>
  <c r="G570"/>
  <c r="G569"/>
  <c r="G568"/>
  <c r="G567"/>
  <c r="G566"/>
  <c r="G565"/>
  <c r="G564"/>
  <c r="G563"/>
  <c r="G562"/>
  <c r="G561"/>
  <c r="G560"/>
  <c r="G559"/>
  <c r="G558"/>
  <c r="G557"/>
  <c r="G556"/>
  <c r="G555"/>
  <c r="G554"/>
  <c r="G553"/>
  <c r="G552"/>
  <c r="G551"/>
  <c r="G550"/>
  <c r="G549"/>
  <c r="G548"/>
  <c r="G547"/>
  <c r="G546"/>
  <c r="G545"/>
  <c r="G544"/>
  <c r="G543"/>
  <c r="G542"/>
  <c r="G541"/>
  <c r="G540"/>
  <c r="G539"/>
  <c r="G538"/>
  <c r="G537"/>
  <c r="G536"/>
  <c r="G535"/>
  <c r="G534"/>
  <c r="G533"/>
  <c r="G532"/>
  <c r="G531"/>
  <c r="G530"/>
  <c r="G529"/>
  <c r="G528"/>
  <c r="G527"/>
  <c r="G526"/>
  <c r="G525"/>
  <c r="G524"/>
  <c r="G523"/>
  <c r="G522"/>
  <c r="G521"/>
  <c r="G520"/>
  <c r="G519"/>
  <c r="G518"/>
  <c r="G517"/>
  <c r="G516"/>
  <c r="G515"/>
  <c r="G514"/>
  <c r="G513"/>
  <c r="G512"/>
  <c r="G511"/>
  <c r="G510"/>
  <c r="G509"/>
  <c r="G508"/>
  <c r="G507"/>
  <c r="G506"/>
  <c r="G505"/>
  <c r="G504"/>
  <c r="G503"/>
  <c r="G502"/>
  <c r="G501"/>
  <c r="G500"/>
  <c r="G499"/>
  <c r="G498"/>
  <c r="G497"/>
  <c r="G496"/>
  <c r="G495"/>
  <c r="G494"/>
  <c r="G493"/>
  <c r="G492"/>
  <c r="G491"/>
  <c r="G490"/>
  <c r="G489"/>
  <c r="G488"/>
  <c r="G487"/>
  <c r="G486"/>
  <c r="G485"/>
  <c r="G484"/>
  <c r="G483"/>
  <c r="G482"/>
  <c r="G481"/>
  <c r="G480"/>
  <c r="G479"/>
  <c r="G478"/>
  <c r="G477"/>
  <c r="G476"/>
  <c r="G475"/>
  <c r="G474"/>
  <c r="G473"/>
  <c r="G472"/>
  <c r="G471"/>
  <c r="G470"/>
  <c r="G469"/>
  <c r="G468"/>
  <c r="G467"/>
  <c r="G466"/>
  <c r="G465"/>
  <c r="G464"/>
  <c r="G463"/>
  <c r="G462"/>
  <c r="G461"/>
  <c r="G460"/>
  <c r="G459"/>
  <c r="G458"/>
  <c r="G457"/>
  <c r="G456"/>
  <c r="G455"/>
  <c r="G454"/>
  <c r="G453"/>
  <c r="G452"/>
  <c r="G451"/>
  <c r="G450"/>
  <c r="G449"/>
  <c r="G448"/>
  <c r="G447"/>
  <c r="G446"/>
  <c r="G445"/>
  <c r="G444"/>
  <c r="G443"/>
  <c r="G442"/>
  <c r="G441"/>
  <c r="G440"/>
  <c r="G439"/>
  <c r="G438"/>
  <c r="G437"/>
  <c r="G436"/>
  <c r="G435"/>
  <c r="G434"/>
  <c r="G433"/>
  <c r="G432"/>
  <c r="G431"/>
  <c r="G430"/>
  <c r="G429"/>
  <c r="G428"/>
  <c r="G427"/>
  <c r="G426"/>
  <c r="G425"/>
  <c r="G424"/>
  <c r="G423"/>
  <c r="G422"/>
  <c r="G421"/>
  <c r="G420"/>
  <c r="G419"/>
  <c r="G418"/>
  <c r="G417"/>
  <c r="G416"/>
  <c r="G415"/>
  <c r="G414"/>
  <c r="G413"/>
  <c r="G412"/>
  <c r="G411"/>
  <c r="G410"/>
  <c r="G409"/>
  <c r="G408"/>
  <c r="G407"/>
  <c r="G406"/>
  <c r="G405"/>
  <c r="G404"/>
  <c r="G403"/>
  <c r="G402"/>
  <c r="G401"/>
  <c r="G400"/>
  <c r="G399"/>
  <c r="G398"/>
  <c r="G397"/>
  <c r="G396"/>
  <c r="G395"/>
  <c r="G394"/>
  <c r="G393"/>
  <c r="G392"/>
  <c r="G391"/>
  <c r="G390"/>
  <c r="G389"/>
  <c r="G388"/>
  <c r="G387"/>
  <c r="G386"/>
  <c r="G385"/>
  <c r="G384"/>
  <c r="G383"/>
  <c r="G382"/>
  <c r="G381"/>
  <c r="G380"/>
  <c r="G379"/>
  <c r="G378"/>
  <c r="G377"/>
  <c r="G376"/>
  <c r="G375"/>
  <c r="G374"/>
  <c r="G373"/>
  <c r="G372"/>
  <c r="G371"/>
  <c r="G370"/>
  <c r="G369"/>
  <c r="G368"/>
  <c r="G367"/>
  <c r="G366"/>
  <c r="G365"/>
  <c r="G364"/>
  <c r="G363"/>
  <c r="G362"/>
  <c r="G361"/>
  <c r="G360"/>
  <c r="G359"/>
  <c r="G358"/>
  <c r="G357"/>
  <c r="G356"/>
  <c r="G355"/>
  <c r="G354"/>
  <c r="G353"/>
  <c r="G352"/>
  <c r="G351"/>
  <c r="G350"/>
  <c r="G349"/>
  <c r="G348"/>
  <c r="G347"/>
  <c r="G346"/>
  <c r="G345"/>
  <c r="G344"/>
  <c r="G343"/>
  <c r="G342"/>
  <c r="G341"/>
  <c r="G340"/>
  <c r="G339"/>
  <c r="G338"/>
  <c r="G337"/>
  <c r="G336"/>
  <c r="G335"/>
  <c r="G334"/>
  <c r="G333"/>
  <c r="G332"/>
  <c r="G331"/>
  <c r="G330"/>
  <c r="G329"/>
  <c r="G328"/>
  <c r="G327"/>
  <c r="G326"/>
  <c r="G325"/>
  <c r="G324"/>
  <c r="G323"/>
  <c r="G322"/>
  <c r="G321"/>
  <c r="G320"/>
  <c r="G319"/>
  <c r="G318"/>
  <c r="G317"/>
  <c r="G316"/>
  <c r="G315"/>
  <c r="G314"/>
  <c r="G313"/>
  <c r="G312"/>
  <c r="G311"/>
  <c r="G310"/>
  <c r="G309"/>
  <c r="G308"/>
  <c r="G307"/>
  <c r="G306"/>
  <c r="G305"/>
  <c r="G304"/>
  <c r="G303"/>
  <c r="G302"/>
  <c r="G301"/>
  <c r="G300"/>
  <c r="G299"/>
  <c r="G298"/>
  <c r="G297"/>
  <c r="G296"/>
  <c r="G295"/>
  <c r="G294"/>
  <c r="G293"/>
  <c r="G292"/>
  <c r="G291"/>
  <c r="G290"/>
  <c r="G289"/>
  <c r="G288"/>
  <c r="G287"/>
  <c r="G286"/>
  <c r="G285"/>
  <c r="G284"/>
  <c r="G283"/>
  <c r="G282"/>
  <c r="G281"/>
  <c r="G280"/>
  <c r="G279"/>
  <c r="G278"/>
  <c r="G277"/>
  <c r="G276"/>
  <c r="G275"/>
  <c r="G274"/>
  <c r="G273"/>
  <c r="G272"/>
  <c r="G271"/>
  <c r="G270"/>
  <c r="G269"/>
  <c r="G268"/>
  <c r="G267"/>
  <c r="G266"/>
  <c r="G265"/>
  <c r="G264"/>
  <c r="G263"/>
  <c r="G262"/>
  <c r="G261"/>
  <c r="G260"/>
  <c r="G259"/>
  <c r="G258"/>
  <c r="G257"/>
  <c r="G256"/>
  <c r="G255"/>
  <c r="G254"/>
  <c r="G253"/>
  <c r="G252"/>
  <c r="G251"/>
  <c r="G250"/>
  <c r="G249"/>
  <c r="G248"/>
  <c r="G247"/>
  <c r="G246"/>
  <c r="G245"/>
  <c r="G244"/>
  <c r="G243"/>
  <c r="G242"/>
  <c r="G241"/>
  <c r="G240"/>
  <c r="G239"/>
  <c r="G238"/>
  <c r="G237"/>
  <c r="G236"/>
  <c r="G235"/>
  <c r="G234"/>
  <c r="G233"/>
  <c r="G232"/>
  <c r="G231"/>
  <c r="G230"/>
  <c r="G229"/>
  <c r="G228"/>
  <c r="G227"/>
  <c r="G226"/>
  <c r="G225"/>
  <c r="G224"/>
  <c r="G223"/>
  <c r="G222"/>
  <c r="G221"/>
  <c r="G220"/>
  <c r="G219"/>
  <c r="G218"/>
  <c r="G217"/>
  <c r="G216"/>
  <c r="G215"/>
  <c r="G214"/>
  <c r="G213"/>
  <c r="G212"/>
  <c r="G211"/>
  <c r="G210"/>
  <c r="G209"/>
  <c r="G208"/>
  <c r="G207"/>
  <c r="G206"/>
  <c r="G205"/>
  <c r="G204"/>
  <c r="G203"/>
  <c r="G202"/>
  <c r="G201"/>
  <c r="G200"/>
  <c r="G199"/>
  <c r="G198"/>
  <c r="G197"/>
  <c r="G196"/>
  <c r="G195"/>
  <c r="G194"/>
  <c r="G193"/>
  <c r="G192"/>
  <c r="G191"/>
  <c r="G190"/>
  <c r="G189"/>
  <c r="G188"/>
  <c r="G187"/>
  <c r="G186"/>
  <c r="G185"/>
  <c r="G184"/>
  <c r="G183"/>
  <c r="G182"/>
  <c r="G181"/>
  <c r="G180"/>
  <c r="G179"/>
  <c r="G178"/>
  <c r="G177"/>
  <c r="G176"/>
  <c r="G175"/>
  <c r="G174"/>
  <c r="G173"/>
  <c r="G172"/>
  <c r="G171"/>
  <c r="G170"/>
  <c r="G169"/>
  <c r="G168"/>
  <c r="G167"/>
  <c r="G166"/>
  <c r="G165"/>
  <c r="G164"/>
  <c r="G163"/>
  <c r="G162"/>
  <c r="G161"/>
  <c r="G160"/>
  <c r="G159"/>
  <c r="G158"/>
  <c r="G157"/>
  <c r="G156"/>
  <c r="G155"/>
  <c r="G154"/>
  <c r="G153"/>
  <c r="G152"/>
  <c r="G151"/>
  <c r="G150"/>
  <c r="G149"/>
  <c r="G148"/>
  <c r="G147"/>
  <c r="G146"/>
  <c r="G145"/>
  <c r="G144"/>
  <c r="G143"/>
  <c r="G142"/>
  <c r="G141"/>
  <c r="G140"/>
  <c r="G139"/>
  <c r="G138"/>
  <c r="G137"/>
  <c r="G136"/>
  <c r="G135"/>
  <c r="G134"/>
  <c r="G133"/>
  <c r="G132"/>
  <c r="G131"/>
  <c r="G130"/>
  <c r="G129"/>
  <c r="G128"/>
  <c r="G127"/>
  <c r="G126"/>
  <c r="G125"/>
  <c r="G124"/>
  <c r="G123"/>
  <c r="G122"/>
  <c r="G121"/>
  <c r="G120"/>
  <c r="G119"/>
  <c r="G118"/>
  <c r="G117"/>
  <c r="G116"/>
  <c r="G115"/>
  <c r="G114"/>
  <c r="G113"/>
  <c r="G112"/>
  <c r="G111"/>
  <c r="G110"/>
  <c r="G109"/>
  <c r="G108"/>
  <c r="G107"/>
  <c r="G106"/>
  <c r="G105"/>
  <c r="G104"/>
  <c r="G103"/>
  <c r="G102"/>
  <c r="G101"/>
  <c r="G100"/>
  <c r="G99"/>
  <c r="G98"/>
  <c r="G97"/>
  <c r="G96"/>
  <c r="G95"/>
  <c r="G94"/>
  <c r="G93"/>
  <c r="G92"/>
  <c r="G91"/>
  <c r="G90"/>
  <c r="G89"/>
  <c r="G88"/>
  <c r="G87"/>
  <c r="G86"/>
  <c r="G85"/>
  <c r="G84"/>
  <c r="G83"/>
  <c r="G82"/>
  <c r="G81"/>
  <c r="G80"/>
  <c r="G79"/>
  <c r="G78"/>
  <c r="G77"/>
  <c r="G76"/>
  <c r="G75"/>
  <c r="G74"/>
  <c r="G73"/>
  <c r="G72"/>
  <c r="G71"/>
  <c r="G70"/>
  <c r="G69"/>
  <c r="G68"/>
  <c r="G67"/>
  <c r="G66"/>
  <c r="G65"/>
  <c r="G64"/>
  <c r="G63"/>
  <c r="G62"/>
  <c r="G61"/>
  <c r="G60"/>
  <c r="G59"/>
  <c r="G58"/>
  <c r="G57"/>
  <c r="G56"/>
  <c r="G55"/>
  <c r="G54"/>
  <c r="G53"/>
  <c r="G52"/>
  <c r="G51"/>
  <c r="G50"/>
  <c r="G49"/>
  <c r="G48"/>
  <c r="G47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8"/>
  <c r="G17"/>
  <c r="G16"/>
  <c r="G15"/>
  <c r="G14"/>
  <c r="G13"/>
  <c r="G12"/>
  <c r="G11"/>
  <c r="G10"/>
  <c r="G9"/>
  <c r="G8"/>
  <c r="G7"/>
  <c r="G6"/>
  <c r="G5"/>
  <c r="G4"/>
  <c r="P10" l="1"/>
  <c r="P34"/>
  <c r="P58"/>
  <c r="P82"/>
  <c r="P106"/>
  <c r="P130"/>
  <c r="P154"/>
  <c r="P178"/>
  <c r="P202"/>
  <c r="P226"/>
  <c r="P250"/>
  <c r="P274"/>
  <c r="P298"/>
  <c r="P322"/>
  <c r="P346"/>
  <c r="P370"/>
  <c r="P394"/>
  <c r="P418"/>
  <c r="P442"/>
  <c r="P466"/>
  <c r="P490"/>
  <c r="P514"/>
  <c r="P538"/>
  <c r="P562"/>
  <c r="P586"/>
  <c r="P610"/>
  <c r="P634"/>
  <c r="P658"/>
  <c r="P682"/>
  <c r="P706"/>
  <c r="P730"/>
  <c r="P754"/>
  <c r="P778"/>
  <c r="P802"/>
  <c r="P826"/>
  <c r="P850"/>
  <c r="P874"/>
  <c r="P898"/>
  <c r="P922"/>
  <c r="P946"/>
  <c r="P970"/>
  <c r="P994"/>
  <c r="P1018"/>
  <c r="P1042"/>
  <c r="P1066"/>
  <c r="P1090"/>
  <c r="P1114"/>
  <c r="P1138"/>
  <c r="P1162"/>
  <c r="P1186"/>
  <c r="P1210"/>
  <c r="P1234"/>
  <c r="P1258"/>
  <c r="P9"/>
  <c r="P33"/>
  <c r="P57"/>
  <c r="P81"/>
  <c r="P105"/>
  <c r="P129"/>
  <c r="P153"/>
  <c r="P177"/>
  <c r="P201"/>
  <c r="P225"/>
  <c r="P249"/>
  <c r="P273"/>
  <c r="P297"/>
  <c r="P321"/>
  <c r="P345"/>
  <c r="P369"/>
  <c r="P393"/>
  <c r="P417"/>
  <c r="P441"/>
  <c r="P465"/>
  <c r="P489"/>
  <c r="P513"/>
  <c r="P537"/>
  <c r="P561"/>
  <c r="P585"/>
  <c r="P609"/>
  <c r="P633"/>
  <c r="P657"/>
  <c r="P681"/>
  <c r="P705"/>
  <c r="P729"/>
  <c r="P753"/>
  <c r="P777"/>
  <c r="P801"/>
  <c r="P825"/>
  <c r="P849"/>
  <c r="P873"/>
  <c r="P897"/>
  <c r="P921"/>
  <c r="P945"/>
  <c r="P969"/>
  <c r="P993"/>
  <c r="P1017"/>
  <c r="P1041"/>
  <c r="P1065"/>
  <c r="P1089"/>
  <c r="P1113"/>
  <c r="P1137"/>
  <c r="P1161"/>
  <c r="P1185"/>
  <c r="P1209"/>
  <c r="P1233"/>
  <c r="P1257"/>
  <c r="P8"/>
  <c r="P32"/>
  <c r="P56"/>
  <c r="P80"/>
  <c r="P104"/>
  <c r="P128"/>
  <c r="P152"/>
  <c r="P176"/>
  <c r="P200"/>
  <c r="P224"/>
  <c r="P248"/>
  <c r="P272"/>
  <c r="P296"/>
  <c r="P320"/>
  <c r="P344"/>
  <c r="P368"/>
  <c r="P392"/>
  <c r="P416"/>
  <c r="P440"/>
  <c r="P464"/>
  <c r="P488"/>
  <c r="P512"/>
  <c r="P536"/>
  <c r="P560"/>
  <c r="P584"/>
  <c r="P608"/>
  <c r="P632"/>
  <c r="P656"/>
  <c r="P680"/>
  <c r="P704"/>
  <c r="P728"/>
  <c r="P752"/>
  <c r="P776"/>
  <c r="P800"/>
  <c r="P824"/>
  <c r="P848"/>
  <c r="P872"/>
  <c r="P896"/>
  <c r="P920"/>
  <c r="P944"/>
  <c r="P968"/>
  <c r="P992"/>
  <c r="P1016"/>
  <c r="P1040"/>
  <c r="P1064"/>
  <c r="P1088"/>
  <c r="P1112"/>
  <c r="P1136"/>
  <c r="P1160"/>
  <c r="P1184"/>
  <c r="P1208"/>
  <c r="P1232"/>
  <c r="P1256"/>
  <c r="P7"/>
  <c r="P31"/>
  <c r="P55"/>
  <c r="P79"/>
  <c r="P103"/>
  <c r="P127"/>
  <c r="P151"/>
  <c r="P175"/>
  <c r="P199"/>
  <c r="P223"/>
  <c r="P247"/>
  <c r="P271"/>
  <c r="P295"/>
  <c r="P319"/>
  <c r="P343"/>
  <c r="P367"/>
  <c r="P391"/>
  <c r="P415"/>
  <c r="P439"/>
  <c r="P463"/>
  <c r="P487"/>
  <c r="P511"/>
  <c r="P535"/>
  <c r="P559"/>
  <c r="P583"/>
  <c r="P607"/>
  <c r="P631"/>
  <c r="P655"/>
  <c r="P679"/>
  <c r="P703"/>
  <c r="P727"/>
  <c r="P751"/>
  <c r="P775"/>
  <c r="P799"/>
  <c r="P823"/>
  <c r="P847"/>
  <c r="P871"/>
  <c r="P895"/>
  <c r="P919"/>
  <c r="P943"/>
  <c r="P967"/>
  <c r="P991"/>
  <c r="P1015"/>
  <c r="P1039"/>
  <c r="P1063"/>
  <c r="P1087"/>
  <c r="P1111"/>
  <c r="P1135"/>
  <c r="P1159"/>
  <c r="P1183"/>
  <c r="P1207"/>
  <c r="P1231"/>
  <c r="P1255"/>
  <c r="P3"/>
  <c r="P243"/>
  <c r="P483"/>
  <c r="P771"/>
  <c r="P1107"/>
  <c r="P146"/>
  <c r="P362"/>
  <c r="P530"/>
  <c r="P674"/>
  <c r="P842"/>
  <c r="P1154"/>
  <c r="P97"/>
  <c r="P169"/>
  <c r="P241"/>
  <c r="P313"/>
  <c r="P409"/>
  <c r="P481"/>
  <c r="P529"/>
  <c r="P577"/>
  <c r="P625"/>
  <c r="P673"/>
  <c r="P721"/>
  <c r="P769"/>
  <c r="P817"/>
  <c r="P889"/>
  <c r="P961"/>
  <c r="P1225"/>
  <c r="P48"/>
  <c r="P96"/>
  <c r="P144"/>
  <c r="P192"/>
  <c r="P240"/>
  <c r="P288"/>
  <c r="P336"/>
  <c r="P408"/>
  <c r="P456"/>
  <c r="P504"/>
  <c r="P552"/>
  <c r="P600"/>
  <c r="P648"/>
  <c r="P696"/>
  <c r="P744"/>
  <c r="P792"/>
  <c r="P840"/>
  <c r="P912"/>
  <c r="P960"/>
  <c r="P1224"/>
  <c r="P23"/>
  <c r="P71"/>
  <c r="P119"/>
  <c r="P167"/>
  <c r="P215"/>
  <c r="P263"/>
  <c r="P311"/>
  <c r="P359"/>
  <c r="P407"/>
  <c r="P455"/>
  <c r="P503"/>
  <c r="P551"/>
  <c r="P599"/>
  <c r="P647"/>
  <c r="P695"/>
  <c r="P743"/>
  <c r="P791"/>
  <c r="P839"/>
  <c r="P887"/>
  <c r="P911"/>
  <c r="P959"/>
  <c r="P1223"/>
  <c r="P22"/>
  <c r="P46"/>
  <c r="P70"/>
  <c r="P94"/>
  <c r="P118"/>
  <c r="P142"/>
  <c r="P166"/>
  <c r="P190"/>
  <c r="P214"/>
  <c r="P238"/>
  <c r="P262"/>
  <c r="P286"/>
  <c r="P310"/>
  <c r="P334"/>
  <c r="P358"/>
  <c r="P382"/>
  <c r="P406"/>
  <c r="P430"/>
  <c r="P454"/>
  <c r="P478"/>
  <c r="P502"/>
  <c r="P526"/>
  <c r="P550"/>
  <c r="P574"/>
  <c r="P598"/>
  <c r="P622"/>
  <c r="P646"/>
  <c r="P670"/>
  <c r="P694"/>
  <c r="P718"/>
  <c r="P742"/>
  <c r="P766"/>
  <c r="P790"/>
  <c r="P814"/>
  <c r="P838"/>
  <c r="P862"/>
  <c r="P886"/>
  <c r="P910"/>
  <c r="P934"/>
  <c r="P958"/>
  <c r="P982"/>
  <c r="P1006"/>
  <c r="P1030"/>
  <c r="P1054"/>
  <c r="P1078"/>
  <c r="P1102"/>
  <c r="P1126"/>
  <c r="P1150"/>
  <c r="P1174"/>
  <c r="P1198"/>
  <c r="P1222"/>
  <c r="P1246"/>
  <c r="P27"/>
  <c r="P219"/>
  <c r="P435"/>
  <c r="P675"/>
  <c r="P915"/>
  <c r="P1155"/>
  <c r="P50"/>
  <c r="P218"/>
  <c r="P386"/>
  <c r="P506"/>
  <c r="P626"/>
  <c r="P770"/>
  <c r="P914"/>
  <c r="P1178"/>
  <c r="P49"/>
  <c r="P121"/>
  <c r="P193"/>
  <c r="P217"/>
  <c r="P289"/>
  <c r="P385"/>
  <c r="P457"/>
  <c r="P505"/>
  <c r="P553"/>
  <c r="P601"/>
  <c r="P649"/>
  <c r="P697"/>
  <c r="P745"/>
  <c r="P793"/>
  <c r="P841"/>
  <c r="P865"/>
  <c r="P913"/>
  <c r="P937"/>
  <c r="P985"/>
  <c r="P1249"/>
  <c r="P24"/>
  <c r="P72"/>
  <c r="P120"/>
  <c r="P168"/>
  <c r="P216"/>
  <c r="P264"/>
  <c r="P312"/>
  <c r="P360"/>
  <c r="P384"/>
  <c r="P432"/>
  <c r="P480"/>
  <c r="P528"/>
  <c r="P576"/>
  <c r="P624"/>
  <c r="P672"/>
  <c r="P720"/>
  <c r="P768"/>
  <c r="P816"/>
  <c r="P864"/>
  <c r="P888"/>
  <c r="P936"/>
  <c r="P984"/>
  <c r="P1248"/>
  <c r="P47"/>
  <c r="P95"/>
  <c r="P143"/>
  <c r="P191"/>
  <c r="P239"/>
  <c r="P287"/>
  <c r="P335"/>
  <c r="P383"/>
  <c r="P431"/>
  <c r="P479"/>
  <c r="P527"/>
  <c r="P575"/>
  <c r="P623"/>
  <c r="P671"/>
  <c r="P719"/>
  <c r="P767"/>
  <c r="P815"/>
  <c r="P863"/>
  <c r="P935"/>
  <c r="P983"/>
  <c r="P1247"/>
  <c r="P21"/>
  <c r="P45"/>
  <c r="P69"/>
  <c r="P93"/>
  <c r="P117"/>
  <c r="P141"/>
  <c r="P165"/>
  <c r="P189"/>
  <c r="P213"/>
  <c r="P237"/>
  <c r="P261"/>
  <c r="P285"/>
  <c r="P309"/>
  <c r="P333"/>
  <c r="P357"/>
  <c r="P381"/>
  <c r="P405"/>
  <c r="P429"/>
  <c r="P453"/>
  <c r="P477"/>
  <c r="P501"/>
  <c r="P525"/>
  <c r="P549"/>
  <c r="P573"/>
  <c r="P597"/>
  <c r="P621"/>
  <c r="P645"/>
  <c r="P669"/>
  <c r="P693"/>
  <c r="P717"/>
  <c r="P741"/>
  <c r="P765"/>
  <c r="P789"/>
  <c r="P813"/>
  <c r="P837"/>
  <c r="P861"/>
  <c r="P885"/>
  <c r="P909"/>
  <c r="P933"/>
  <c r="P957"/>
  <c r="P981"/>
  <c r="P1005"/>
  <c r="P1029"/>
  <c r="P1053"/>
  <c r="P1077"/>
  <c r="P1101"/>
  <c r="P1125"/>
  <c r="P1149"/>
  <c r="P1173"/>
  <c r="P1197"/>
  <c r="P1221"/>
  <c r="P1245"/>
  <c r="P195"/>
  <c r="P507"/>
  <c r="P819"/>
  <c r="P1131"/>
  <c r="P338"/>
  <c r="P1082"/>
  <c r="P1105"/>
  <c r="P1056"/>
  <c r="P1055"/>
  <c r="P20"/>
  <c r="P44"/>
  <c r="P68"/>
  <c r="P92"/>
  <c r="P116"/>
  <c r="P140"/>
  <c r="P164"/>
  <c r="P188"/>
  <c r="P212"/>
  <c r="P236"/>
  <c r="P260"/>
  <c r="P284"/>
  <c r="P308"/>
  <c r="P332"/>
  <c r="P356"/>
  <c r="P380"/>
  <c r="P404"/>
  <c r="P428"/>
  <c r="P452"/>
  <c r="P476"/>
  <c r="P500"/>
  <c r="P524"/>
  <c r="P548"/>
  <c r="P572"/>
  <c r="P596"/>
  <c r="P620"/>
  <c r="P644"/>
  <c r="P668"/>
  <c r="P692"/>
  <c r="P716"/>
  <c r="P740"/>
  <c r="P764"/>
  <c r="P788"/>
  <c r="P812"/>
  <c r="P836"/>
  <c r="P860"/>
  <c r="P884"/>
  <c r="P908"/>
  <c r="P932"/>
  <c r="P956"/>
  <c r="P980"/>
  <c r="P1004"/>
  <c r="P1028"/>
  <c r="P1052"/>
  <c r="P1076"/>
  <c r="P1100"/>
  <c r="P1124"/>
  <c r="P1148"/>
  <c r="P1172"/>
  <c r="P1196"/>
  <c r="P1220"/>
  <c r="P1244"/>
  <c r="P75"/>
  <c r="P387"/>
  <c r="P651"/>
  <c r="P867"/>
  <c r="P1059"/>
  <c r="P170"/>
  <c r="P1058"/>
  <c r="P1057"/>
  <c r="P1080"/>
  <c r="P1079"/>
  <c r="P19"/>
  <c r="P43"/>
  <c r="P67"/>
  <c r="P91"/>
  <c r="P115"/>
  <c r="P139"/>
  <c r="P163"/>
  <c r="P187"/>
  <c r="P211"/>
  <c r="P235"/>
  <c r="P259"/>
  <c r="P283"/>
  <c r="P307"/>
  <c r="P331"/>
  <c r="P355"/>
  <c r="P379"/>
  <c r="P403"/>
  <c r="P427"/>
  <c r="P451"/>
  <c r="P475"/>
  <c r="P499"/>
  <c r="P523"/>
  <c r="P547"/>
  <c r="P571"/>
  <c r="P595"/>
  <c r="P619"/>
  <c r="P643"/>
  <c r="P667"/>
  <c r="P691"/>
  <c r="P715"/>
  <c r="P739"/>
  <c r="P763"/>
  <c r="P787"/>
  <c r="P811"/>
  <c r="P835"/>
  <c r="P859"/>
  <c r="P883"/>
  <c r="P907"/>
  <c r="P931"/>
  <c r="P955"/>
  <c r="P979"/>
  <c r="P1003"/>
  <c r="P1027"/>
  <c r="P1051"/>
  <c r="P1075"/>
  <c r="P1099"/>
  <c r="P1123"/>
  <c r="P1147"/>
  <c r="P1171"/>
  <c r="P1195"/>
  <c r="P1219"/>
  <c r="P1243"/>
  <c r="P291"/>
  <c r="P627"/>
  <c r="P1011"/>
  <c r="P1010"/>
  <c r="P1033"/>
  <c r="P1032"/>
  <c r="P1103"/>
  <c r="P18"/>
  <c r="P42"/>
  <c r="P66"/>
  <c r="P90"/>
  <c r="P114"/>
  <c r="P138"/>
  <c r="P162"/>
  <c r="P186"/>
  <c r="P210"/>
  <c r="P234"/>
  <c r="P258"/>
  <c r="P282"/>
  <c r="P306"/>
  <c r="P330"/>
  <c r="P354"/>
  <c r="P378"/>
  <c r="P402"/>
  <c r="P426"/>
  <c r="P450"/>
  <c r="P474"/>
  <c r="P498"/>
  <c r="P522"/>
  <c r="P546"/>
  <c r="P570"/>
  <c r="P594"/>
  <c r="P618"/>
  <c r="P642"/>
  <c r="P666"/>
  <c r="P690"/>
  <c r="P714"/>
  <c r="P738"/>
  <c r="P762"/>
  <c r="P786"/>
  <c r="P810"/>
  <c r="P834"/>
  <c r="P858"/>
  <c r="P882"/>
  <c r="P906"/>
  <c r="P930"/>
  <c r="P954"/>
  <c r="P978"/>
  <c r="P1002"/>
  <c r="P1026"/>
  <c r="P1050"/>
  <c r="P1074"/>
  <c r="P1098"/>
  <c r="P1122"/>
  <c r="P1146"/>
  <c r="P1170"/>
  <c r="P1194"/>
  <c r="P1218"/>
  <c r="P1242"/>
  <c r="P267"/>
  <c r="P603"/>
  <c r="P1035"/>
  <c r="P1034"/>
  <c r="P1009"/>
  <c r="P1008"/>
  <c r="P1031"/>
  <c r="P17"/>
  <c r="P41"/>
  <c r="P65"/>
  <c r="P89"/>
  <c r="P113"/>
  <c r="P137"/>
  <c r="P161"/>
  <c r="P185"/>
  <c r="P209"/>
  <c r="P233"/>
  <c r="P257"/>
  <c r="P281"/>
  <c r="P305"/>
  <c r="P329"/>
  <c r="P353"/>
  <c r="P377"/>
  <c r="P401"/>
  <c r="P425"/>
  <c r="P449"/>
  <c r="P473"/>
  <c r="P497"/>
  <c r="P521"/>
  <c r="P545"/>
  <c r="P569"/>
  <c r="P593"/>
  <c r="P617"/>
  <c r="P641"/>
  <c r="P665"/>
  <c r="P689"/>
  <c r="P713"/>
  <c r="P737"/>
  <c r="P761"/>
  <c r="P785"/>
  <c r="P809"/>
  <c r="P833"/>
  <c r="P857"/>
  <c r="P881"/>
  <c r="P905"/>
  <c r="P929"/>
  <c r="P953"/>
  <c r="P977"/>
  <c r="P1001"/>
  <c r="P1025"/>
  <c r="P1049"/>
  <c r="P1073"/>
  <c r="P1097"/>
  <c r="P1121"/>
  <c r="P1145"/>
  <c r="P1169"/>
  <c r="P1193"/>
  <c r="P1217"/>
  <c r="P1241"/>
  <c r="P171"/>
  <c r="P459"/>
  <c r="P699"/>
  <c r="P939"/>
  <c r="P1083"/>
  <c r="P242"/>
  <c r="P1106"/>
  <c r="P1081"/>
  <c r="P1104"/>
  <c r="P1007"/>
  <c r="P16"/>
  <c r="P40"/>
  <c r="P64"/>
  <c r="P88"/>
  <c r="P112"/>
  <c r="P136"/>
  <c r="P160"/>
  <c r="P184"/>
  <c r="P208"/>
  <c r="P232"/>
  <c r="P256"/>
  <c r="P280"/>
  <c r="P304"/>
  <c r="P328"/>
  <c r="P352"/>
  <c r="P376"/>
  <c r="P400"/>
  <c r="P424"/>
  <c r="P448"/>
  <c r="P472"/>
  <c r="P496"/>
  <c r="P520"/>
  <c r="P544"/>
  <c r="P568"/>
  <c r="P592"/>
  <c r="P616"/>
  <c r="P640"/>
  <c r="P664"/>
  <c r="P688"/>
  <c r="P712"/>
  <c r="P736"/>
  <c r="P760"/>
  <c r="P784"/>
  <c r="P808"/>
  <c r="P832"/>
  <c r="P856"/>
  <c r="P880"/>
  <c r="P904"/>
  <c r="P928"/>
  <c r="P952"/>
  <c r="P976"/>
  <c r="P1000"/>
  <c r="P1024"/>
  <c r="P1048"/>
  <c r="P1072"/>
  <c r="P1096"/>
  <c r="P1120"/>
  <c r="P1144"/>
  <c r="P1168"/>
  <c r="P1192"/>
  <c r="P1216"/>
  <c r="P1240"/>
  <c r="P99"/>
  <c r="P339"/>
  <c r="P531"/>
  <c r="P723"/>
  <c r="P891"/>
  <c r="P987"/>
  <c r="P1251"/>
  <c r="P74"/>
  <c r="P266"/>
  <c r="P434"/>
  <c r="P578"/>
  <c r="P722"/>
  <c r="P866"/>
  <c r="P986"/>
  <c r="P1250"/>
  <c r="P73"/>
  <c r="P361"/>
  <c r="P1153"/>
  <c r="P1176"/>
  <c r="P1151"/>
  <c r="P15"/>
  <c r="P39"/>
  <c r="P63"/>
  <c r="P87"/>
  <c r="P111"/>
  <c r="P135"/>
  <c r="P159"/>
  <c r="P183"/>
  <c r="P207"/>
  <c r="P231"/>
  <c r="P255"/>
  <c r="P279"/>
  <c r="P303"/>
  <c r="P327"/>
  <c r="P351"/>
  <c r="P375"/>
  <c r="P399"/>
  <c r="P423"/>
  <c r="P447"/>
  <c r="P471"/>
  <c r="P495"/>
  <c r="P519"/>
  <c r="P543"/>
  <c r="P567"/>
  <c r="P591"/>
  <c r="P615"/>
  <c r="P639"/>
  <c r="P663"/>
  <c r="P687"/>
  <c r="P711"/>
  <c r="P735"/>
  <c r="P759"/>
  <c r="P783"/>
  <c r="P807"/>
  <c r="P831"/>
  <c r="P855"/>
  <c r="P879"/>
  <c r="P903"/>
  <c r="P927"/>
  <c r="P951"/>
  <c r="P975"/>
  <c r="P999"/>
  <c r="P1023"/>
  <c r="P1047"/>
  <c r="P1071"/>
  <c r="P1095"/>
  <c r="P1119"/>
  <c r="P1143"/>
  <c r="P1167"/>
  <c r="P1191"/>
  <c r="P1215"/>
  <c r="P1239"/>
  <c r="P123"/>
  <c r="P363"/>
  <c r="P555"/>
  <c r="P747"/>
  <c r="P963"/>
  <c r="P1203"/>
  <c r="P26"/>
  <c r="P194"/>
  <c r="P410"/>
  <c r="P554"/>
  <c r="P698"/>
  <c r="P794"/>
  <c r="P938"/>
  <c r="P1202"/>
  <c r="P145"/>
  <c r="P433"/>
  <c r="P1201"/>
  <c r="P1152"/>
  <c r="P1175"/>
  <c r="P14"/>
  <c r="P38"/>
  <c r="P62"/>
  <c r="P86"/>
  <c r="P110"/>
  <c r="P134"/>
  <c r="P158"/>
  <c r="P182"/>
  <c r="P206"/>
  <c r="P230"/>
  <c r="P254"/>
  <c r="P278"/>
  <c r="P302"/>
  <c r="P326"/>
  <c r="P350"/>
  <c r="P374"/>
  <c r="P398"/>
  <c r="P422"/>
  <c r="P446"/>
  <c r="P470"/>
  <c r="P494"/>
  <c r="P518"/>
  <c r="P542"/>
  <c r="P566"/>
  <c r="P590"/>
  <c r="P614"/>
  <c r="P638"/>
  <c r="P662"/>
  <c r="P686"/>
  <c r="P710"/>
  <c r="P734"/>
  <c r="P758"/>
  <c r="P782"/>
  <c r="P806"/>
  <c r="P830"/>
  <c r="P854"/>
  <c r="P878"/>
  <c r="P902"/>
  <c r="P926"/>
  <c r="P950"/>
  <c r="P974"/>
  <c r="P998"/>
  <c r="P1022"/>
  <c r="P1046"/>
  <c r="P1070"/>
  <c r="P1094"/>
  <c r="P1118"/>
  <c r="P1142"/>
  <c r="P1166"/>
  <c r="P1190"/>
  <c r="P1214"/>
  <c r="P1238"/>
  <c r="P147"/>
  <c r="P411"/>
  <c r="P795"/>
  <c r="P1227"/>
  <c r="P98"/>
  <c r="P290"/>
  <c r="P458"/>
  <c r="P602"/>
  <c r="P746"/>
  <c r="P890"/>
  <c r="P1130"/>
  <c r="P265"/>
  <c r="P1129"/>
  <c r="P1128"/>
  <c r="P1199"/>
  <c r="P13"/>
  <c r="P37"/>
  <c r="P61"/>
  <c r="P85"/>
  <c r="P109"/>
  <c r="P133"/>
  <c r="P157"/>
  <c r="P181"/>
  <c r="P205"/>
  <c r="P229"/>
  <c r="P253"/>
  <c r="P277"/>
  <c r="P301"/>
  <c r="P325"/>
  <c r="P349"/>
  <c r="P373"/>
  <c r="P397"/>
  <c r="P421"/>
  <c r="P445"/>
  <c r="P469"/>
  <c r="P493"/>
  <c r="P517"/>
  <c r="P541"/>
  <c r="P565"/>
  <c r="P589"/>
  <c r="P613"/>
  <c r="P637"/>
  <c r="P661"/>
  <c r="P685"/>
  <c r="P709"/>
  <c r="P733"/>
  <c r="P757"/>
  <c r="P781"/>
  <c r="P805"/>
  <c r="P829"/>
  <c r="P853"/>
  <c r="P877"/>
  <c r="P901"/>
  <c r="P925"/>
  <c r="P949"/>
  <c r="P973"/>
  <c r="P997"/>
  <c r="P1021"/>
  <c r="P1045"/>
  <c r="P1069"/>
  <c r="P1093"/>
  <c r="P1117"/>
  <c r="P1141"/>
  <c r="P1165"/>
  <c r="P1189"/>
  <c r="P1213"/>
  <c r="P1237"/>
  <c r="P51"/>
  <c r="P315"/>
  <c r="P579"/>
  <c r="P843"/>
  <c r="P1179"/>
  <c r="P122"/>
  <c r="P314"/>
  <c r="P482"/>
  <c r="P650"/>
  <c r="P818"/>
  <c r="P962"/>
  <c r="P1226"/>
  <c r="P25"/>
  <c r="P337"/>
  <c r="P1177"/>
  <c r="P1200"/>
  <c r="P1127"/>
  <c r="P12"/>
  <c r="P36"/>
  <c r="P60"/>
  <c r="P84"/>
  <c r="P108"/>
  <c r="P132"/>
  <c r="P156"/>
  <c r="P180"/>
  <c r="P204"/>
  <c r="P228"/>
  <c r="P252"/>
  <c r="P276"/>
  <c r="P300"/>
  <c r="P324"/>
  <c r="P348"/>
  <c r="P372"/>
  <c r="P396"/>
  <c r="P420"/>
  <c r="P444"/>
  <c r="P468"/>
  <c r="P492"/>
  <c r="P516"/>
  <c r="P540"/>
  <c r="P564"/>
  <c r="P588"/>
  <c r="P612"/>
  <c r="P636"/>
  <c r="P660"/>
  <c r="P684"/>
  <c r="P708"/>
  <c r="P732"/>
  <c r="P756"/>
  <c r="P780"/>
  <c r="P804"/>
  <c r="P828"/>
  <c r="P852"/>
  <c r="P876"/>
  <c r="P900"/>
  <c r="P924"/>
  <c r="P948"/>
  <c r="P972"/>
  <c r="P996"/>
  <c r="P1020"/>
  <c r="P1044"/>
  <c r="P1068"/>
  <c r="P1092"/>
  <c r="P1116"/>
  <c r="P1140"/>
  <c r="P1164"/>
  <c r="P1188"/>
  <c r="P1212"/>
  <c r="I941"/>
  <c r="L941" s="1"/>
  <c r="J941"/>
  <c r="M941" s="1"/>
  <c r="K941"/>
  <c r="N941" s="1"/>
  <c r="I1028"/>
  <c r="L1028" s="1"/>
  <c r="J1028"/>
  <c r="M1028" s="1"/>
  <c r="K1028"/>
  <c r="N1028" s="1"/>
  <c r="I1253"/>
  <c r="L1253" s="1"/>
  <c r="J1253"/>
  <c r="M1253" s="1"/>
  <c r="K1253"/>
  <c r="N1253" s="1"/>
  <c r="I189"/>
  <c r="L189" s="1"/>
  <c r="J189"/>
  <c r="M189" s="1"/>
  <c r="K189"/>
  <c r="N189" s="1"/>
  <c r="I388"/>
  <c r="L388" s="1"/>
  <c r="J388"/>
  <c r="M388" s="1"/>
  <c r="K388"/>
  <c r="N388" s="1"/>
  <c r="J477"/>
  <c r="M477" s="1"/>
  <c r="K477"/>
  <c r="N477" s="1"/>
  <c r="I477"/>
  <c r="L477" s="1"/>
  <c r="I1085"/>
  <c r="L1085" s="1"/>
  <c r="J1085"/>
  <c r="M1085" s="1"/>
  <c r="K1085"/>
  <c r="N1085" s="1"/>
  <c r="J1096"/>
  <c r="M1096" s="1"/>
  <c r="K1096"/>
  <c r="N1096" s="1"/>
  <c r="K1251"/>
  <c r="N1251" s="1"/>
  <c r="I1251"/>
  <c r="L1251" s="1"/>
  <c r="J1251"/>
  <c r="M1251" s="1"/>
  <c r="I165"/>
  <c r="L165" s="1"/>
  <c r="J165"/>
  <c r="M165" s="1"/>
  <c r="K165"/>
  <c r="N165" s="1"/>
  <c r="I1084"/>
  <c r="L1084" s="1"/>
  <c r="J1084"/>
  <c r="M1084" s="1"/>
  <c r="K1084"/>
  <c r="N1084" s="1"/>
  <c r="I141"/>
  <c r="L141" s="1"/>
  <c r="J141"/>
  <c r="M141" s="1"/>
  <c r="K141"/>
  <c r="N141" s="1"/>
  <c r="J341"/>
  <c r="M341" s="1"/>
  <c r="K341"/>
  <c r="N341" s="1"/>
  <c r="I917"/>
  <c r="L917" s="1"/>
  <c r="J917"/>
  <c r="M917" s="1"/>
  <c r="K917"/>
  <c r="N917" s="1"/>
  <c r="K13"/>
  <c r="N13" s="1"/>
  <c r="K75"/>
  <c r="N75" s="1"/>
  <c r="K113"/>
  <c r="N113" s="1"/>
  <c r="K290"/>
  <c r="N290" s="1"/>
  <c r="K336"/>
  <c r="N336" s="1"/>
  <c r="K362"/>
  <c r="N362" s="1"/>
  <c r="K572"/>
  <c r="N572" s="1"/>
  <c r="J13"/>
  <c r="M13" s="1"/>
  <c r="K51"/>
  <c r="N51" s="1"/>
  <c r="J75"/>
  <c r="M75" s="1"/>
  <c r="K89"/>
  <c r="N89" s="1"/>
  <c r="J103"/>
  <c r="M103" s="1"/>
  <c r="J113"/>
  <c r="M113" s="1"/>
  <c r="K271"/>
  <c r="N271" s="1"/>
  <c r="J290"/>
  <c r="M290" s="1"/>
  <c r="K296"/>
  <c r="N296" s="1"/>
  <c r="K300"/>
  <c r="N300" s="1"/>
  <c r="J315"/>
  <c r="M315" s="1"/>
  <c r="J336"/>
  <c r="M336" s="1"/>
  <c r="J362"/>
  <c r="M362" s="1"/>
  <c r="J572"/>
  <c r="M572" s="1"/>
  <c r="K808"/>
  <c r="N808" s="1"/>
  <c r="J878"/>
  <c r="M878" s="1"/>
  <c r="K922"/>
  <c r="N922" s="1"/>
  <c r="J950"/>
  <c r="M950" s="1"/>
  <c r="K1148"/>
  <c r="N1148" s="1"/>
  <c r="J79"/>
  <c r="M79" s="1"/>
  <c r="I103"/>
  <c r="L103" s="1"/>
  <c r="K232"/>
  <c r="N232" s="1"/>
  <c r="J271"/>
  <c r="M271" s="1"/>
  <c r="J296"/>
  <c r="M296" s="1"/>
  <c r="I315"/>
  <c r="L315" s="1"/>
  <c r="J590"/>
  <c r="M590" s="1"/>
  <c r="J734"/>
  <c r="M734" s="1"/>
  <c r="K784"/>
  <c r="N784" s="1"/>
  <c r="I808"/>
  <c r="L808" s="1"/>
  <c r="J843"/>
  <c r="M843" s="1"/>
  <c r="I878"/>
  <c r="L878" s="1"/>
  <c r="I922"/>
  <c r="L922" s="1"/>
  <c r="I950"/>
  <c r="L950" s="1"/>
  <c r="K1193"/>
  <c r="N1193" s="1"/>
  <c r="K1217"/>
  <c r="N1217" s="1"/>
  <c r="I536"/>
  <c r="L536" s="1"/>
  <c r="J536"/>
  <c r="M536" s="1"/>
  <c r="K536"/>
  <c r="N536" s="1"/>
  <c r="I262"/>
  <c r="L262" s="1"/>
  <c r="J262"/>
  <c r="M262" s="1"/>
  <c r="K262"/>
  <c r="N262" s="1"/>
  <c r="I484"/>
  <c r="L484" s="1"/>
  <c r="J484"/>
  <c r="M484" s="1"/>
  <c r="K484"/>
  <c r="N484" s="1"/>
  <c r="I414"/>
  <c r="L414" s="1"/>
  <c r="J414"/>
  <c r="M414" s="1"/>
  <c r="I340"/>
  <c r="L340" s="1"/>
  <c r="K340"/>
  <c r="N340" s="1"/>
  <c r="I408"/>
  <c r="L408" s="1"/>
  <c r="J408"/>
  <c r="M408" s="1"/>
  <c r="K408"/>
  <c r="N408" s="1"/>
  <c r="I749"/>
  <c r="L749" s="1"/>
  <c r="J749"/>
  <c r="M749" s="1"/>
  <c r="K749"/>
  <c r="N749" s="1"/>
  <c r="J760"/>
  <c r="M760" s="1"/>
  <c r="I760"/>
  <c r="L760" s="1"/>
  <c r="K760"/>
  <c r="N760" s="1"/>
  <c r="K1118"/>
  <c r="N1118" s="1"/>
  <c r="I1118"/>
  <c r="L1118" s="1"/>
  <c r="J1118"/>
  <c r="M1118" s="1"/>
  <c r="J1197"/>
  <c r="M1197" s="1"/>
  <c r="K1197"/>
  <c r="N1197" s="1"/>
  <c r="J1227"/>
  <c r="M1227" s="1"/>
  <c r="J669"/>
  <c r="M669" s="1"/>
  <c r="K669"/>
  <c r="N669" s="1"/>
  <c r="I301"/>
  <c r="L301" s="1"/>
  <c r="J301"/>
  <c r="M301" s="1"/>
  <c r="K301"/>
  <c r="N301" s="1"/>
  <c r="I772"/>
  <c r="L772" s="1"/>
  <c r="J772"/>
  <c r="M772" s="1"/>
  <c r="K772"/>
  <c r="N772" s="1"/>
  <c r="J425"/>
  <c r="M425" s="1"/>
  <c r="K425"/>
  <c r="N425" s="1"/>
  <c r="I532"/>
  <c r="L532" s="1"/>
  <c r="J532"/>
  <c r="M532" s="1"/>
  <c r="K532"/>
  <c r="N532" s="1"/>
  <c r="I589"/>
  <c r="L589" s="1"/>
  <c r="J589"/>
  <c r="M589" s="1"/>
  <c r="I748"/>
  <c r="L748" s="1"/>
  <c r="J748"/>
  <c r="M748" s="1"/>
  <c r="K748"/>
  <c r="N748" s="1"/>
  <c r="K329"/>
  <c r="N329" s="1"/>
  <c r="I1227"/>
  <c r="L1227" s="1"/>
  <c r="I725"/>
  <c r="L725" s="1"/>
  <c r="J725"/>
  <c r="M725" s="1"/>
  <c r="K725"/>
  <c r="N725" s="1"/>
  <c r="I1252"/>
  <c r="L1252" s="1"/>
  <c r="J1252"/>
  <c r="M1252" s="1"/>
  <c r="K1252"/>
  <c r="N1252" s="1"/>
  <c r="J410"/>
  <c r="M410" s="1"/>
  <c r="K410"/>
  <c r="N410" s="1"/>
  <c r="I117"/>
  <c r="L117" s="1"/>
  <c r="J117"/>
  <c r="M117" s="1"/>
  <c r="K117"/>
  <c r="N117" s="1"/>
  <c r="J533"/>
  <c r="M533" s="1"/>
  <c r="K533"/>
  <c r="N533" s="1"/>
  <c r="K627"/>
  <c r="N627" s="1"/>
  <c r="J627"/>
  <c r="M627" s="1"/>
  <c r="I799"/>
  <c r="L799" s="1"/>
  <c r="J799"/>
  <c r="M799" s="1"/>
  <c r="K799"/>
  <c r="N799" s="1"/>
  <c r="K178"/>
  <c r="N178" s="1"/>
  <c r="K192"/>
  <c r="N192" s="1"/>
  <c r="K304"/>
  <c r="N304" s="1"/>
  <c r="K366"/>
  <c r="N366" s="1"/>
  <c r="K392"/>
  <c r="N392" s="1"/>
  <c r="I1052"/>
  <c r="L1052" s="1"/>
  <c r="J1052"/>
  <c r="M1052" s="1"/>
  <c r="K1052"/>
  <c r="N1052" s="1"/>
  <c r="I1004"/>
  <c r="L1004" s="1"/>
  <c r="J1004"/>
  <c r="M1004" s="1"/>
  <c r="K1004"/>
  <c r="N1004" s="1"/>
  <c r="I809"/>
  <c r="L809" s="1"/>
  <c r="J809"/>
  <c r="M809" s="1"/>
  <c r="K809"/>
  <c r="N809" s="1"/>
  <c r="J404"/>
  <c r="M404" s="1"/>
  <c r="K404"/>
  <c r="N404" s="1"/>
  <c r="I1108"/>
  <c r="L1108" s="1"/>
  <c r="J1108"/>
  <c r="M1108" s="1"/>
  <c r="K1108"/>
  <c r="N1108" s="1"/>
  <c r="I773"/>
  <c r="L773" s="1"/>
  <c r="J773"/>
  <c r="M773" s="1"/>
  <c r="K773"/>
  <c r="N773" s="1"/>
  <c r="J381"/>
  <c r="M381" s="1"/>
  <c r="K381"/>
  <c r="N381" s="1"/>
  <c r="J269"/>
  <c r="M269" s="1"/>
  <c r="K269"/>
  <c r="N269" s="1"/>
  <c r="I319"/>
  <c r="L319" s="1"/>
  <c r="J319"/>
  <c r="M319" s="1"/>
  <c r="K319"/>
  <c r="N319" s="1"/>
  <c r="K350"/>
  <c r="N350" s="1"/>
  <c r="J350"/>
  <c r="M350" s="1"/>
  <c r="J453"/>
  <c r="M453" s="1"/>
  <c r="K453"/>
  <c r="N453" s="1"/>
  <c r="I492"/>
  <c r="L492" s="1"/>
  <c r="J492"/>
  <c r="M492" s="1"/>
  <c r="K492"/>
  <c r="N492" s="1"/>
  <c r="J538"/>
  <c r="M538" s="1"/>
  <c r="K538"/>
  <c r="N538" s="1"/>
  <c r="I582"/>
  <c r="L582" s="1"/>
  <c r="J582"/>
  <c r="M582" s="1"/>
  <c r="K582"/>
  <c r="N582" s="1"/>
  <c r="I604"/>
  <c r="L604" s="1"/>
  <c r="J604"/>
  <c r="M604" s="1"/>
  <c r="K604"/>
  <c r="N604" s="1"/>
  <c r="I640"/>
  <c r="L640" s="1"/>
  <c r="J640"/>
  <c r="M640" s="1"/>
  <c r="I676"/>
  <c r="L676" s="1"/>
  <c r="J676"/>
  <c r="M676" s="1"/>
  <c r="K676"/>
  <c r="N676" s="1"/>
  <c r="J1221"/>
  <c r="M1221" s="1"/>
  <c r="K1221"/>
  <c r="N1221" s="1"/>
  <c r="K54"/>
  <c r="N54" s="1"/>
  <c r="K68"/>
  <c r="N68" s="1"/>
  <c r="K40"/>
  <c r="N40" s="1"/>
  <c r="J54"/>
  <c r="M54" s="1"/>
  <c r="J64"/>
  <c r="M64" s="1"/>
  <c r="J68"/>
  <c r="M68" s="1"/>
  <c r="K154"/>
  <c r="N154" s="1"/>
  <c r="K168"/>
  <c r="N168" s="1"/>
  <c r="J178"/>
  <c r="M178" s="1"/>
  <c r="J192"/>
  <c r="M192" s="1"/>
  <c r="J304"/>
  <c r="M304" s="1"/>
  <c r="J366"/>
  <c r="M366" s="1"/>
  <c r="J392"/>
  <c r="M392" s="1"/>
  <c r="J423"/>
  <c r="M423" s="1"/>
  <c r="K430"/>
  <c r="N430" s="1"/>
  <c r="K688"/>
  <c r="N688" s="1"/>
  <c r="J38"/>
  <c r="M38" s="1"/>
  <c r="K38"/>
  <c r="N38" s="1"/>
  <c r="J1149"/>
  <c r="M1149" s="1"/>
  <c r="K1149"/>
  <c r="N1149" s="1"/>
  <c r="I916"/>
  <c r="L916" s="1"/>
  <c r="J916"/>
  <c r="M916" s="1"/>
  <c r="K916"/>
  <c r="N916" s="1"/>
  <c r="I330"/>
  <c r="L330" s="1"/>
  <c r="J330"/>
  <c r="M330" s="1"/>
  <c r="K330"/>
  <c r="N330" s="1"/>
  <c r="I460"/>
  <c r="L460" s="1"/>
  <c r="J460"/>
  <c r="M460" s="1"/>
  <c r="K460"/>
  <c r="N460" s="1"/>
  <c r="I45"/>
  <c r="L45" s="1"/>
  <c r="J45"/>
  <c r="M45" s="1"/>
  <c r="K45"/>
  <c r="N45" s="1"/>
  <c r="J549"/>
  <c r="M549" s="1"/>
  <c r="K549"/>
  <c r="N549" s="1"/>
  <c r="J837"/>
  <c r="M837" s="1"/>
  <c r="K837"/>
  <c r="N837" s="1"/>
  <c r="J285"/>
  <c r="M285" s="1"/>
  <c r="K285"/>
  <c r="N285" s="1"/>
  <c r="J230"/>
  <c r="M230" s="1"/>
  <c r="K230"/>
  <c r="N230" s="1"/>
  <c r="I376"/>
  <c r="L376" s="1"/>
  <c r="J376"/>
  <c r="M376" s="1"/>
  <c r="I469"/>
  <c r="L469" s="1"/>
  <c r="J469"/>
  <c r="M469" s="1"/>
  <c r="K469"/>
  <c r="N469" s="1"/>
  <c r="I560"/>
  <c r="L560" s="1"/>
  <c r="J560"/>
  <c r="M560" s="1"/>
  <c r="K560"/>
  <c r="N560" s="1"/>
  <c r="I1061"/>
  <c r="L1061" s="1"/>
  <c r="J1061"/>
  <c r="M1061" s="1"/>
  <c r="K1061"/>
  <c r="N1061" s="1"/>
  <c r="I1196"/>
  <c r="L1196" s="1"/>
  <c r="J1196"/>
  <c r="M1196" s="1"/>
  <c r="J40"/>
  <c r="M40" s="1"/>
  <c r="J254"/>
  <c r="M254" s="1"/>
  <c r="J283"/>
  <c r="M283" s="1"/>
  <c r="I423"/>
  <c r="L423" s="1"/>
  <c r="J688"/>
  <c r="M688" s="1"/>
  <c r="J1076"/>
  <c r="M1076" s="1"/>
  <c r="I473"/>
  <c r="L473" s="1"/>
  <c r="J473"/>
  <c r="M473" s="1"/>
  <c r="K473"/>
  <c r="N473" s="1"/>
  <c r="K686"/>
  <c r="N686" s="1"/>
  <c r="I686"/>
  <c r="L686" s="1"/>
  <c r="J686"/>
  <c r="M686" s="1"/>
  <c r="J393"/>
  <c r="M393" s="1"/>
  <c r="K393"/>
  <c r="N393" s="1"/>
  <c r="K1203"/>
  <c r="N1203" s="1"/>
  <c r="J1203"/>
  <c r="M1203" s="1"/>
  <c r="J444"/>
  <c r="M444" s="1"/>
  <c r="K444"/>
  <c r="N444" s="1"/>
  <c r="I764"/>
  <c r="L764" s="1"/>
  <c r="J764"/>
  <c r="M764" s="1"/>
  <c r="K764"/>
  <c r="N764" s="1"/>
  <c r="I965"/>
  <c r="L965" s="1"/>
  <c r="J965"/>
  <c r="M965" s="1"/>
  <c r="K965"/>
  <c r="N965" s="1"/>
  <c r="I989"/>
  <c r="L989" s="1"/>
  <c r="J989"/>
  <c r="M989" s="1"/>
  <c r="K989"/>
  <c r="N989" s="1"/>
  <c r="I1013"/>
  <c r="L1013" s="1"/>
  <c r="J1013"/>
  <c r="M1013" s="1"/>
  <c r="K1013"/>
  <c r="N1013" s="1"/>
  <c r="I1037"/>
  <c r="L1037" s="1"/>
  <c r="J1037"/>
  <c r="M1037" s="1"/>
  <c r="K1037"/>
  <c r="N1037" s="1"/>
  <c r="J1048"/>
  <c r="M1048" s="1"/>
  <c r="K1048"/>
  <c r="N1048" s="1"/>
  <c r="I1060"/>
  <c r="L1060" s="1"/>
  <c r="J1060"/>
  <c r="M1060" s="1"/>
  <c r="K1060"/>
  <c r="N1060" s="1"/>
  <c r="I1076"/>
  <c r="L1076" s="1"/>
  <c r="I416"/>
  <c r="L416" s="1"/>
  <c r="J416"/>
  <c r="M416" s="1"/>
  <c r="K416"/>
  <c r="N416" s="1"/>
  <c r="J802"/>
  <c r="M802" s="1"/>
  <c r="I802"/>
  <c r="L802" s="1"/>
  <c r="K802"/>
  <c r="N802" s="1"/>
  <c r="J701"/>
  <c r="M701" s="1"/>
  <c r="K701"/>
  <c r="N701" s="1"/>
  <c r="I700"/>
  <c r="L700" s="1"/>
  <c r="J700"/>
  <c r="M700" s="1"/>
  <c r="K700"/>
  <c r="N700" s="1"/>
  <c r="I527"/>
  <c r="L527" s="1"/>
  <c r="J527"/>
  <c r="M527" s="1"/>
  <c r="I964"/>
  <c r="L964" s="1"/>
  <c r="J964"/>
  <c r="M964" s="1"/>
  <c r="K964"/>
  <c r="N964" s="1"/>
  <c r="I988"/>
  <c r="L988" s="1"/>
  <c r="J988"/>
  <c r="M988" s="1"/>
  <c r="K988"/>
  <c r="N988" s="1"/>
  <c r="J1000"/>
  <c r="M1000" s="1"/>
  <c r="K1000"/>
  <c r="N1000" s="1"/>
  <c r="I1012"/>
  <c r="L1012" s="1"/>
  <c r="J1012"/>
  <c r="M1012" s="1"/>
  <c r="K1012"/>
  <c r="N1012" s="1"/>
  <c r="J1024"/>
  <c r="M1024" s="1"/>
  <c r="K1024"/>
  <c r="N1024" s="1"/>
  <c r="I1036"/>
  <c r="L1036" s="1"/>
  <c r="J1036"/>
  <c r="M1036" s="1"/>
  <c r="K1036"/>
  <c r="N1036" s="1"/>
  <c r="J490"/>
  <c r="M490" s="1"/>
  <c r="I490"/>
  <c r="L490" s="1"/>
  <c r="K490"/>
  <c r="N490" s="1"/>
  <c r="J637"/>
  <c r="M637" s="1"/>
  <c r="K637"/>
  <c r="N637" s="1"/>
  <c r="J14"/>
  <c r="M14" s="1"/>
  <c r="K14"/>
  <c r="N14" s="1"/>
  <c r="I636"/>
  <c r="L636" s="1"/>
  <c r="J636"/>
  <c r="M636" s="1"/>
  <c r="K636"/>
  <c r="N636" s="1"/>
  <c r="J1138"/>
  <c r="M1138" s="1"/>
  <c r="I1138"/>
  <c r="L1138" s="1"/>
  <c r="K1138"/>
  <c r="N1138" s="1"/>
  <c r="I679"/>
  <c r="L679" s="1"/>
  <c r="J679"/>
  <c r="M679" s="1"/>
  <c r="K679"/>
  <c r="N679" s="1"/>
  <c r="J813"/>
  <c r="M813" s="1"/>
  <c r="K813"/>
  <c r="N813" s="1"/>
  <c r="J645"/>
  <c r="M645" s="1"/>
  <c r="K645"/>
  <c r="N645" s="1"/>
  <c r="J308"/>
  <c r="M308" s="1"/>
  <c r="K308"/>
  <c r="N308" s="1"/>
  <c r="J158"/>
  <c r="M158" s="1"/>
  <c r="K158"/>
  <c r="N158" s="1"/>
  <c r="J391"/>
  <c r="M391" s="1"/>
  <c r="K391"/>
  <c r="N391" s="1"/>
  <c r="I660"/>
  <c r="L660" s="1"/>
  <c r="J660"/>
  <c r="M660" s="1"/>
  <c r="K660"/>
  <c r="N660" s="1"/>
  <c r="J1111"/>
  <c r="M1111" s="1"/>
  <c r="K1111"/>
  <c r="N1111" s="1"/>
  <c r="J1173"/>
  <c r="M1173" s="1"/>
  <c r="K1173"/>
  <c r="N1173" s="1"/>
  <c r="J96"/>
  <c r="M96" s="1"/>
  <c r="K268"/>
  <c r="N268" s="1"/>
  <c r="K318"/>
  <c r="N318" s="1"/>
  <c r="J348"/>
  <c r="M348" s="1"/>
  <c r="J359"/>
  <c r="M359" s="1"/>
  <c r="J370"/>
  <c r="M370" s="1"/>
  <c r="J422"/>
  <c r="M422" s="1"/>
  <c r="J603"/>
  <c r="M603" s="1"/>
  <c r="I363"/>
  <c r="L363" s="1"/>
  <c r="J363"/>
  <c r="M363" s="1"/>
  <c r="K363"/>
  <c r="N363" s="1"/>
  <c r="J524"/>
  <c r="M524" s="1"/>
  <c r="K524"/>
  <c r="N524" s="1"/>
  <c r="I427"/>
  <c r="L427" s="1"/>
  <c r="J427"/>
  <c r="M427" s="1"/>
  <c r="K427"/>
  <c r="N427" s="1"/>
  <c r="J276"/>
  <c r="M276" s="1"/>
  <c r="K276"/>
  <c r="N276" s="1"/>
  <c r="I352"/>
  <c r="L352" s="1"/>
  <c r="J352"/>
  <c r="M352" s="1"/>
  <c r="K352"/>
  <c r="N352" s="1"/>
  <c r="I93"/>
  <c r="L93" s="1"/>
  <c r="J93"/>
  <c r="M93" s="1"/>
  <c r="K93"/>
  <c r="N93" s="1"/>
  <c r="J206"/>
  <c r="M206" s="1"/>
  <c r="K206"/>
  <c r="N206" s="1"/>
  <c r="I244"/>
  <c r="L244" s="1"/>
  <c r="K244"/>
  <c r="N244" s="1"/>
  <c r="J182"/>
  <c r="M182" s="1"/>
  <c r="K182"/>
  <c r="N182" s="1"/>
  <c r="J134"/>
  <c r="M134" s="1"/>
  <c r="K134"/>
  <c r="N134" s="1"/>
  <c r="I448"/>
  <c r="L448" s="1"/>
  <c r="J448"/>
  <c r="M448" s="1"/>
  <c r="J581"/>
  <c r="M581" s="1"/>
  <c r="K581"/>
  <c r="N581" s="1"/>
  <c r="I868"/>
  <c r="L868" s="1"/>
  <c r="J868"/>
  <c r="M868" s="1"/>
  <c r="K868"/>
  <c r="N868" s="1"/>
  <c r="I893"/>
  <c r="L893" s="1"/>
  <c r="J893"/>
  <c r="M893" s="1"/>
  <c r="K893"/>
  <c r="N893" s="1"/>
  <c r="K58"/>
  <c r="N58" s="1"/>
  <c r="K72"/>
  <c r="N72" s="1"/>
  <c r="J82"/>
  <c r="M82" s="1"/>
  <c r="K225"/>
  <c r="N225" s="1"/>
  <c r="K239"/>
  <c r="N239" s="1"/>
  <c r="J258"/>
  <c r="M258" s="1"/>
  <c r="K34"/>
  <c r="N34" s="1"/>
  <c r="K48"/>
  <c r="N48" s="1"/>
  <c r="K201"/>
  <c r="N201" s="1"/>
  <c r="I225"/>
  <c r="L225" s="1"/>
  <c r="K229"/>
  <c r="N229" s="1"/>
  <c r="J239"/>
  <c r="M239" s="1"/>
  <c r="J268"/>
  <c r="M268" s="1"/>
  <c r="K333"/>
  <c r="N333" s="1"/>
  <c r="I348"/>
  <c r="L348" s="1"/>
  <c r="K384"/>
  <c r="N384" s="1"/>
  <c r="K411"/>
  <c r="N411" s="1"/>
  <c r="I422"/>
  <c r="L422" s="1"/>
  <c r="K438"/>
  <c r="N438" s="1"/>
  <c r="K468"/>
  <c r="N468" s="1"/>
  <c r="K485"/>
  <c r="N485" s="1"/>
  <c r="I603"/>
  <c r="L603" s="1"/>
  <c r="K665"/>
  <c r="N665" s="1"/>
  <c r="J692"/>
  <c r="M692" s="1"/>
  <c r="I1168"/>
  <c r="L1168" s="1"/>
  <c r="I724"/>
  <c r="L724" s="1"/>
  <c r="J724"/>
  <c r="M724" s="1"/>
  <c r="K724"/>
  <c r="N724" s="1"/>
  <c r="I980"/>
  <c r="L980" s="1"/>
  <c r="J980"/>
  <c r="M980" s="1"/>
  <c r="K980"/>
  <c r="N980" s="1"/>
  <c r="I940"/>
  <c r="L940" s="1"/>
  <c r="J940"/>
  <c r="M940" s="1"/>
  <c r="K940"/>
  <c r="N940" s="1"/>
  <c r="I213"/>
  <c r="L213" s="1"/>
  <c r="J213"/>
  <c r="M213" s="1"/>
  <c r="K213"/>
  <c r="N213" s="1"/>
  <c r="I294"/>
  <c r="L294" s="1"/>
  <c r="J294"/>
  <c r="M294" s="1"/>
  <c r="K294"/>
  <c r="N294" s="1"/>
  <c r="J110"/>
  <c r="M110" s="1"/>
  <c r="K110"/>
  <c r="N110" s="1"/>
  <c r="K278"/>
  <c r="N278" s="1"/>
  <c r="I278"/>
  <c r="L278" s="1"/>
  <c r="J501"/>
  <c r="M501" s="1"/>
  <c r="K501"/>
  <c r="N501" s="1"/>
  <c r="K542"/>
  <c r="N542" s="1"/>
  <c r="J542"/>
  <c r="M542" s="1"/>
  <c r="I564"/>
  <c r="L564" s="1"/>
  <c r="J564"/>
  <c r="M564" s="1"/>
  <c r="I892"/>
  <c r="L892" s="1"/>
  <c r="J892"/>
  <c r="M892" s="1"/>
  <c r="K892"/>
  <c r="N892" s="1"/>
  <c r="K205"/>
  <c r="N205" s="1"/>
  <c r="J229"/>
  <c r="M229" s="1"/>
  <c r="K243"/>
  <c r="N243" s="1"/>
  <c r="K303"/>
  <c r="N303" s="1"/>
  <c r="K365"/>
  <c r="N365" s="1"/>
  <c r="J384"/>
  <c r="M384" s="1"/>
  <c r="J411"/>
  <c r="M411" s="1"/>
  <c r="J438"/>
  <c r="M438" s="1"/>
  <c r="J468"/>
  <c r="M468" s="1"/>
  <c r="J62"/>
  <c r="M62" s="1"/>
  <c r="K62"/>
  <c r="N62" s="1"/>
  <c r="J874"/>
  <c r="M874" s="1"/>
  <c r="I874"/>
  <c r="L874" s="1"/>
  <c r="K874"/>
  <c r="N874" s="1"/>
  <c r="I354"/>
  <c r="L354" s="1"/>
  <c r="J354"/>
  <c r="M354" s="1"/>
  <c r="J237"/>
  <c r="M237" s="1"/>
  <c r="I237"/>
  <c r="L237" s="1"/>
  <c r="K237"/>
  <c r="N237" s="1"/>
  <c r="I551"/>
  <c r="L551" s="1"/>
  <c r="J551"/>
  <c r="M551" s="1"/>
  <c r="K551"/>
  <c r="N551" s="1"/>
  <c r="K326"/>
  <c r="N326" s="1"/>
  <c r="J326"/>
  <c r="M326" s="1"/>
  <c r="K614"/>
  <c r="N614" s="1"/>
  <c r="I614"/>
  <c r="L614" s="1"/>
  <c r="J614"/>
  <c r="M614" s="1"/>
  <c r="I69"/>
  <c r="L69" s="1"/>
  <c r="J69"/>
  <c r="M69" s="1"/>
  <c r="K69"/>
  <c r="N69" s="1"/>
  <c r="I21"/>
  <c r="L21" s="1"/>
  <c r="J21"/>
  <c r="M21" s="1"/>
  <c r="K21"/>
  <c r="N21" s="1"/>
  <c r="J86"/>
  <c r="M86" s="1"/>
  <c r="K86"/>
  <c r="N86" s="1"/>
  <c r="I580"/>
  <c r="L580" s="1"/>
  <c r="J580"/>
  <c r="M580" s="1"/>
  <c r="K580"/>
  <c r="N580" s="1"/>
  <c r="I1145"/>
  <c r="L1145" s="1"/>
  <c r="J1145"/>
  <c r="M1145" s="1"/>
  <c r="K1145"/>
  <c r="N1145" s="1"/>
  <c r="J1213"/>
  <c r="M1213" s="1"/>
  <c r="K1213"/>
  <c r="N1213" s="1"/>
  <c r="K10"/>
  <c r="N10" s="1"/>
  <c r="K24"/>
  <c r="N24" s="1"/>
  <c r="J34"/>
  <c r="M34" s="1"/>
  <c r="J48"/>
  <c r="M48" s="1"/>
  <c r="K177"/>
  <c r="N177" s="1"/>
  <c r="I62"/>
  <c r="L62" s="1"/>
  <c r="K153"/>
  <c r="N153" s="1"/>
  <c r="I177"/>
  <c r="L177" s="1"/>
  <c r="K253"/>
  <c r="N253" s="1"/>
  <c r="J303"/>
  <c r="M303" s="1"/>
  <c r="K343"/>
  <c r="N343" s="1"/>
  <c r="I365"/>
  <c r="L365" s="1"/>
  <c r="I637"/>
  <c r="L637" s="1"/>
  <c r="I669"/>
  <c r="L669" s="1"/>
  <c r="K887"/>
  <c r="N887" s="1"/>
  <c r="J1046"/>
  <c r="M1046" s="1"/>
  <c r="K1247"/>
  <c r="N1247" s="1"/>
  <c r="I608"/>
  <c r="L608" s="1"/>
  <c r="J608"/>
  <c r="M608" s="1"/>
  <c r="I797"/>
  <c r="L797" s="1"/>
  <c r="J797"/>
  <c r="M797" s="1"/>
  <c r="K797"/>
  <c r="N797" s="1"/>
  <c r="J429"/>
  <c r="M429" s="1"/>
  <c r="K429"/>
  <c r="N429" s="1"/>
  <c r="I612"/>
  <c r="L612" s="1"/>
  <c r="J612"/>
  <c r="M612" s="1"/>
  <c r="K612"/>
  <c r="N612" s="1"/>
  <c r="J621"/>
  <c r="M621" s="1"/>
  <c r="K621"/>
  <c r="N621" s="1"/>
  <c r="J677"/>
  <c r="M677" s="1"/>
  <c r="K677"/>
  <c r="N677" s="1"/>
  <c r="I796"/>
  <c r="L796" s="1"/>
  <c r="J796"/>
  <c r="M796" s="1"/>
  <c r="K796"/>
  <c r="N796" s="1"/>
  <c r="I1109"/>
  <c r="L1109" s="1"/>
  <c r="J1109"/>
  <c r="M1109" s="1"/>
  <c r="K1109"/>
  <c r="N1109" s="1"/>
  <c r="K500"/>
  <c r="N500" s="1"/>
  <c r="K733"/>
  <c r="N733" s="1"/>
  <c r="K925"/>
  <c r="N925" s="1"/>
  <c r="K949"/>
  <c r="N949" s="1"/>
  <c r="K973"/>
  <c r="N973" s="1"/>
  <c r="K488"/>
  <c r="N488" s="1"/>
  <c r="K514"/>
  <c r="N514" s="1"/>
  <c r="J518"/>
  <c r="M518" s="1"/>
  <c r="J699"/>
  <c r="M699" s="1"/>
  <c r="K767"/>
  <c r="N767" s="1"/>
  <c r="J939"/>
  <c r="M939" s="1"/>
  <c r="J963"/>
  <c r="M963" s="1"/>
  <c r="K983"/>
  <c r="N983" s="1"/>
  <c r="K1007"/>
  <c r="N1007" s="1"/>
  <c r="K1031"/>
  <c r="N1031" s="1"/>
  <c r="K1055"/>
  <c r="N1055" s="1"/>
  <c r="K1216"/>
  <c r="N1216" s="1"/>
  <c r="J509"/>
  <c r="M509" s="1"/>
  <c r="K509"/>
  <c r="N509" s="1"/>
  <c r="I821"/>
  <c r="L821" s="1"/>
  <c r="J821"/>
  <c r="M821" s="1"/>
  <c r="K821"/>
  <c r="N821" s="1"/>
  <c r="I1132"/>
  <c r="L1132" s="1"/>
  <c r="J1132"/>
  <c r="M1132" s="1"/>
  <c r="K1132"/>
  <c r="N1132" s="1"/>
  <c r="I436"/>
  <c r="L436" s="1"/>
  <c r="J436"/>
  <c r="M436" s="1"/>
  <c r="K436"/>
  <c r="N436" s="1"/>
  <c r="I584"/>
  <c r="L584" s="1"/>
  <c r="J584"/>
  <c r="M584" s="1"/>
  <c r="J653"/>
  <c r="M653" s="1"/>
  <c r="K653"/>
  <c r="N653" s="1"/>
  <c r="I820"/>
  <c r="L820" s="1"/>
  <c r="J820"/>
  <c r="M820" s="1"/>
  <c r="K820"/>
  <c r="N820" s="1"/>
  <c r="J885"/>
  <c r="M885" s="1"/>
  <c r="K885"/>
  <c r="N885" s="1"/>
  <c r="I1157"/>
  <c r="L1157" s="1"/>
  <c r="J1157"/>
  <c r="M1157" s="1"/>
  <c r="K1157"/>
  <c r="N1157" s="1"/>
  <c r="I826"/>
  <c r="L826" s="1"/>
  <c r="K1240"/>
  <c r="N1240" s="1"/>
  <c r="I540"/>
  <c r="L540" s="1"/>
  <c r="J540"/>
  <c r="M540" s="1"/>
  <c r="I588"/>
  <c r="L588" s="1"/>
  <c r="J588"/>
  <c r="M588" s="1"/>
  <c r="K588"/>
  <c r="N588" s="1"/>
  <c r="I1156"/>
  <c r="L1156" s="1"/>
  <c r="J1156"/>
  <c r="M1156" s="1"/>
  <c r="K1156"/>
  <c r="N1156" s="1"/>
  <c r="J22"/>
  <c r="M22" s="1"/>
  <c r="J70"/>
  <c r="M70" s="1"/>
  <c r="J118"/>
  <c r="M118" s="1"/>
  <c r="J142"/>
  <c r="M142" s="1"/>
  <c r="J190"/>
  <c r="M190" s="1"/>
  <c r="J214"/>
  <c r="M214" s="1"/>
  <c r="J353"/>
  <c r="M353" s="1"/>
  <c r="K929"/>
  <c r="N929" s="1"/>
  <c r="K953"/>
  <c r="N953" s="1"/>
  <c r="K977"/>
  <c r="N977" s="1"/>
  <c r="J1107"/>
  <c r="M1107" s="1"/>
  <c r="J1117"/>
  <c r="M1117" s="1"/>
  <c r="K1127"/>
  <c r="N1127" s="1"/>
  <c r="K1210"/>
  <c r="N1210" s="1"/>
  <c r="I1133"/>
  <c r="L1133" s="1"/>
  <c r="J1133"/>
  <c r="M1133" s="1"/>
  <c r="K1133"/>
  <c r="N1133" s="1"/>
  <c r="I508"/>
  <c r="L508" s="1"/>
  <c r="J508"/>
  <c r="M508" s="1"/>
  <c r="K508"/>
  <c r="N508" s="1"/>
  <c r="J557"/>
  <c r="M557" s="1"/>
  <c r="K557"/>
  <c r="N557" s="1"/>
  <c r="J597"/>
  <c r="M597" s="1"/>
  <c r="K597"/>
  <c r="N597" s="1"/>
  <c r="I652"/>
  <c r="L652" s="1"/>
  <c r="J652"/>
  <c r="M652" s="1"/>
  <c r="K652"/>
  <c r="N652" s="1"/>
  <c r="J741"/>
  <c r="M741" s="1"/>
  <c r="K741"/>
  <c r="N741" s="1"/>
  <c r="J909"/>
  <c r="M909" s="1"/>
  <c r="K909"/>
  <c r="N909" s="1"/>
  <c r="J933"/>
  <c r="M933" s="1"/>
  <c r="K933"/>
  <c r="N933" s="1"/>
  <c r="J957"/>
  <c r="M957" s="1"/>
  <c r="K957"/>
  <c r="N957" s="1"/>
  <c r="I1181"/>
  <c r="L1181" s="1"/>
  <c r="J1181"/>
  <c r="M1181" s="1"/>
  <c r="K1181"/>
  <c r="N1181" s="1"/>
  <c r="J46"/>
  <c r="M46" s="1"/>
  <c r="J94"/>
  <c r="M94" s="1"/>
  <c r="J166"/>
  <c r="M166" s="1"/>
  <c r="J263"/>
  <c r="M263" s="1"/>
  <c r="J295"/>
  <c r="M295" s="1"/>
  <c r="J302"/>
  <c r="M302" s="1"/>
  <c r="J368"/>
  <c r="M368" s="1"/>
  <c r="J417"/>
  <c r="M417" s="1"/>
  <c r="J428"/>
  <c r="M428" s="1"/>
  <c r="K8"/>
  <c r="N8" s="1"/>
  <c r="K32"/>
  <c r="N32" s="1"/>
  <c r="K56"/>
  <c r="N56" s="1"/>
  <c r="K80"/>
  <c r="N80" s="1"/>
  <c r="K104"/>
  <c r="N104" s="1"/>
  <c r="K128"/>
  <c r="N128" s="1"/>
  <c r="K152"/>
  <c r="N152" s="1"/>
  <c r="K176"/>
  <c r="N176" s="1"/>
  <c r="K200"/>
  <c r="N200" s="1"/>
  <c r="K224"/>
  <c r="N224" s="1"/>
  <c r="K245"/>
  <c r="N245" s="1"/>
  <c r="K252"/>
  <c r="N252" s="1"/>
  <c r="K284"/>
  <c r="N284" s="1"/>
  <c r="I302"/>
  <c r="L302" s="1"/>
  <c r="K309"/>
  <c r="N309" s="1"/>
  <c r="K320"/>
  <c r="N320" s="1"/>
  <c r="K349"/>
  <c r="N349" s="1"/>
  <c r="K390"/>
  <c r="N390" s="1"/>
  <c r="K424"/>
  <c r="N424" s="1"/>
  <c r="K513"/>
  <c r="N513" s="1"/>
  <c r="K606"/>
  <c r="N606" s="1"/>
  <c r="K671"/>
  <c r="N671" s="1"/>
  <c r="I675"/>
  <c r="L675" s="1"/>
  <c r="K703"/>
  <c r="N703" s="1"/>
  <c r="J713"/>
  <c r="M713" s="1"/>
  <c r="K805"/>
  <c r="N805" s="1"/>
  <c r="I830"/>
  <c r="L830" s="1"/>
  <c r="J929"/>
  <c r="M929" s="1"/>
  <c r="J953"/>
  <c r="M953" s="1"/>
  <c r="J977"/>
  <c r="M977" s="1"/>
  <c r="I1107"/>
  <c r="L1107" s="1"/>
  <c r="J1127"/>
  <c r="M1127" s="1"/>
  <c r="I1210"/>
  <c r="L1210" s="1"/>
  <c r="I556"/>
  <c r="L556" s="1"/>
  <c r="J556"/>
  <c r="M556" s="1"/>
  <c r="K556"/>
  <c r="N556" s="1"/>
  <c r="J717"/>
  <c r="M717" s="1"/>
  <c r="K717"/>
  <c r="N717" s="1"/>
  <c r="I1180"/>
  <c r="L1180" s="1"/>
  <c r="J1180"/>
  <c r="M1180" s="1"/>
  <c r="K1180"/>
  <c r="N1180" s="1"/>
  <c r="J424"/>
  <c r="M424" s="1"/>
  <c r="J606"/>
  <c r="M606" s="1"/>
  <c r="J638"/>
  <c r="M638" s="1"/>
  <c r="J805"/>
  <c r="M805" s="1"/>
  <c r="J1255"/>
  <c r="M1255" s="1"/>
  <c r="I364"/>
  <c r="L364" s="1"/>
  <c r="K364"/>
  <c r="N364" s="1"/>
  <c r="J405"/>
  <c r="M405" s="1"/>
  <c r="K405"/>
  <c r="N405" s="1"/>
  <c r="J629"/>
  <c r="M629" s="1"/>
  <c r="K629"/>
  <c r="N629" s="1"/>
  <c r="J765"/>
  <c r="M765" s="1"/>
  <c r="K765"/>
  <c r="N765" s="1"/>
  <c r="J981"/>
  <c r="M981" s="1"/>
  <c r="K981"/>
  <c r="N981" s="1"/>
  <c r="J1005"/>
  <c r="M1005" s="1"/>
  <c r="K1005"/>
  <c r="N1005" s="1"/>
  <c r="J1029"/>
  <c r="M1029" s="1"/>
  <c r="K1029"/>
  <c r="N1029" s="1"/>
  <c r="J1053"/>
  <c r="M1053" s="1"/>
  <c r="K1053"/>
  <c r="N1053" s="1"/>
  <c r="I1205"/>
  <c r="L1205" s="1"/>
  <c r="J1205"/>
  <c r="M1205" s="1"/>
  <c r="K1205"/>
  <c r="N1205" s="1"/>
  <c r="J513"/>
  <c r="M513" s="1"/>
  <c r="K466"/>
  <c r="N466" s="1"/>
  <c r="K521"/>
  <c r="N521" s="1"/>
  <c r="I638"/>
  <c r="L638" s="1"/>
  <c r="K689"/>
  <c r="N689" s="1"/>
  <c r="K785"/>
  <c r="N785" s="1"/>
  <c r="K815"/>
  <c r="N815" s="1"/>
  <c r="J819"/>
  <c r="M819" s="1"/>
  <c r="I880"/>
  <c r="L880" s="1"/>
  <c r="J1001"/>
  <c r="M1001" s="1"/>
  <c r="J1025"/>
  <c r="M1025" s="1"/>
  <c r="J1049"/>
  <c r="M1049" s="1"/>
  <c r="J1097"/>
  <c r="M1097" s="1"/>
  <c r="I1131"/>
  <c r="L1131" s="1"/>
  <c r="J1151"/>
  <c r="M1151" s="1"/>
  <c r="J861"/>
  <c r="M861" s="1"/>
  <c r="K861"/>
  <c r="N861" s="1"/>
  <c r="J1245"/>
  <c r="M1245" s="1"/>
  <c r="K1245"/>
  <c r="N1245" s="1"/>
  <c r="I628"/>
  <c r="L628" s="1"/>
  <c r="J628"/>
  <c r="M628" s="1"/>
  <c r="K628"/>
  <c r="N628" s="1"/>
  <c r="I845"/>
  <c r="L845" s="1"/>
  <c r="J845"/>
  <c r="M845" s="1"/>
  <c r="K845"/>
  <c r="N845" s="1"/>
  <c r="I1204"/>
  <c r="L1204" s="1"/>
  <c r="J1204"/>
  <c r="M1204" s="1"/>
  <c r="K1204"/>
  <c r="N1204" s="1"/>
  <c r="J525"/>
  <c r="M525" s="1"/>
  <c r="K525"/>
  <c r="N525" s="1"/>
  <c r="J693"/>
  <c r="M693" s="1"/>
  <c r="K693"/>
  <c r="N693" s="1"/>
  <c r="I844"/>
  <c r="L844" s="1"/>
  <c r="J844"/>
  <c r="M844" s="1"/>
  <c r="K844"/>
  <c r="N844" s="1"/>
  <c r="J1077"/>
  <c r="M1077" s="1"/>
  <c r="K1077"/>
  <c r="N1077" s="1"/>
  <c r="K1189"/>
  <c r="N1189" s="1"/>
  <c r="I316"/>
  <c r="L316" s="1"/>
  <c r="K316"/>
  <c r="N316" s="1"/>
  <c r="I684"/>
  <c r="L684" s="1"/>
  <c r="J684"/>
  <c r="M684" s="1"/>
  <c r="K684"/>
  <c r="N684" s="1"/>
  <c r="J1101"/>
  <c r="M1101" s="1"/>
  <c r="K1101"/>
  <c r="N1101" s="1"/>
  <c r="J4"/>
  <c r="M4" s="1"/>
  <c r="J28"/>
  <c r="M28" s="1"/>
  <c r="J52"/>
  <c r="M52" s="1"/>
  <c r="J76"/>
  <c r="M76" s="1"/>
  <c r="J100"/>
  <c r="M100" s="1"/>
  <c r="J124"/>
  <c r="M124" s="1"/>
  <c r="J148"/>
  <c r="M148" s="1"/>
  <c r="J172"/>
  <c r="M172" s="1"/>
  <c r="J196"/>
  <c r="M196" s="1"/>
  <c r="J220"/>
  <c r="M220" s="1"/>
  <c r="J248"/>
  <c r="M248" s="1"/>
  <c r="J255"/>
  <c r="M255" s="1"/>
  <c r="J287"/>
  <c r="M287" s="1"/>
  <c r="J334"/>
  <c r="M334" s="1"/>
  <c r="J345"/>
  <c r="M345" s="1"/>
  <c r="J374"/>
  <c r="M374" s="1"/>
  <c r="J431"/>
  <c r="M431" s="1"/>
  <c r="I446"/>
  <c r="L446" s="1"/>
  <c r="J494"/>
  <c r="M494" s="1"/>
  <c r="J555"/>
  <c r="M555" s="1"/>
  <c r="J569"/>
  <c r="M569" s="1"/>
  <c r="K610"/>
  <c r="N610" s="1"/>
  <c r="K712"/>
  <c r="N712" s="1"/>
  <c r="J716"/>
  <c r="M716" s="1"/>
  <c r="I736"/>
  <c r="L736" s="1"/>
  <c r="J829"/>
  <c r="M829" s="1"/>
  <c r="J854"/>
  <c r="M854" s="1"/>
  <c r="K928"/>
  <c r="N928" s="1"/>
  <c r="K952"/>
  <c r="N952" s="1"/>
  <c r="K976"/>
  <c r="N976" s="1"/>
  <c r="J1121"/>
  <c r="M1121" s="1"/>
  <c r="J1179"/>
  <c r="M1179" s="1"/>
  <c r="J1189"/>
  <c r="M1189" s="1"/>
  <c r="K1199"/>
  <c r="N1199" s="1"/>
  <c r="J1238"/>
  <c r="M1238" s="1"/>
  <c r="I412"/>
  <c r="L412" s="1"/>
  <c r="J412"/>
  <c r="M412" s="1"/>
  <c r="K412"/>
  <c r="N412" s="1"/>
  <c r="I512"/>
  <c r="L512" s="1"/>
  <c r="J512"/>
  <c r="M512" s="1"/>
  <c r="J573"/>
  <c r="M573" s="1"/>
  <c r="K573"/>
  <c r="N573" s="1"/>
  <c r="J789"/>
  <c r="M789" s="1"/>
  <c r="K789"/>
  <c r="N789" s="1"/>
  <c r="I1229"/>
  <c r="L1229" s="1"/>
  <c r="J1229"/>
  <c r="M1229" s="1"/>
  <c r="K1229"/>
  <c r="N1229" s="1"/>
  <c r="I374"/>
  <c r="L374" s="1"/>
  <c r="I494"/>
  <c r="L494" s="1"/>
  <c r="I555"/>
  <c r="L555" s="1"/>
  <c r="I610"/>
  <c r="L610" s="1"/>
  <c r="I712"/>
  <c r="L712" s="1"/>
  <c r="I854"/>
  <c r="L854" s="1"/>
  <c r="I1179"/>
  <c r="L1179" s="1"/>
  <c r="I516"/>
  <c r="L516" s="1"/>
  <c r="J516"/>
  <c r="M516" s="1"/>
  <c r="J605"/>
  <c r="M605" s="1"/>
  <c r="K605"/>
  <c r="N605" s="1"/>
  <c r="I869"/>
  <c r="L869" s="1"/>
  <c r="J869"/>
  <c r="M869" s="1"/>
  <c r="K869"/>
  <c r="N869" s="1"/>
  <c r="J1125"/>
  <c r="M1125" s="1"/>
  <c r="K1125"/>
  <c r="N1125" s="1"/>
  <c r="I1228"/>
  <c r="L1228" s="1"/>
  <c r="J1228"/>
  <c r="M1228" s="1"/>
  <c r="K1228"/>
  <c r="N1228" s="1"/>
  <c r="K708"/>
  <c r="N708" s="1"/>
  <c r="K732"/>
  <c r="N732" s="1"/>
  <c r="K756"/>
  <c r="N756" s="1"/>
  <c r="K780"/>
  <c r="N780" s="1"/>
  <c r="K804"/>
  <c r="N804" s="1"/>
  <c r="K828"/>
  <c r="N828" s="1"/>
  <c r="K852"/>
  <c r="N852" s="1"/>
  <c r="K876"/>
  <c r="N876" s="1"/>
  <c r="K900"/>
  <c r="N900" s="1"/>
  <c r="K924"/>
  <c r="N924" s="1"/>
  <c r="K948"/>
  <c r="N948" s="1"/>
  <c r="K972"/>
  <c r="N972" s="1"/>
  <c r="K996"/>
  <c r="N996" s="1"/>
  <c r="K1020"/>
  <c r="N1020" s="1"/>
  <c r="K1044"/>
  <c r="N1044" s="1"/>
  <c r="K1068"/>
  <c r="N1068" s="1"/>
  <c r="K1092"/>
  <c r="N1092" s="1"/>
  <c r="J1099"/>
  <c r="M1099" s="1"/>
  <c r="K1116"/>
  <c r="N1116" s="1"/>
  <c r="K1140"/>
  <c r="N1140" s="1"/>
  <c r="K1164"/>
  <c r="N1164" s="1"/>
  <c r="K1188"/>
  <c r="N1188" s="1"/>
  <c r="K1212"/>
  <c r="N1212" s="1"/>
  <c r="J1219"/>
  <c r="M1219" s="1"/>
  <c r="K1236"/>
  <c r="N1236" s="1"/>
  <c r="J1243"/>
  <c r="M1243" s="1"/>
  <c r="J708"/>
  <c r="M708" s="1"/>
  <c r="J732"/>
  <c r="M732" s="1"/>
  <c r="J756"/>
  <c r="M756" s="1"/>
  <c r="J780"/>
  <c r="M780" s="1"/>
  <c r="J804"/>
  <c r="M804" s="1"/>
  <c r="J828"/>
  <c r="M828" s="1"/>
  <c r="J852"/>
  <c r="M852" s="1"/>
  <c r="J876"/>
  <c r="M876" s="1"/>
  <c r="J900"/>
  <c r="M900" s="1"/>
  <c r="J924"/>
  <c r="M924" s="1"/>
  <c r="J948"/>
  <c r="M948" s="1"/>
  <c r="J972"/>
  <c r="M972" s="1"/>
  <c r="J996"/>
  <c r="M996" s="1"/>
  <c r="J1020"/>
  <c r="M1020" s="1"/>
  <c r="J1044"/>
  <c r="M1044" s="1"/>
  <c r="J1068"/>
  <c r="M1068" s="1"/>
  <c r="J1092"/>
  <c r="M1092" s="1"/>
  <c r="J1116"/>
  <c r="M1116" s="1"/>
  <c r="J1140"/>
  <c r="M1140" s="1"/>
  <c r="J1164"/>
  <c r="M1164" s="1"/>
  <c r="J1188"/>
  <c r="M1188" s="1"/>
  <c r="J1212"/>
  <c r="M1212" s="1"/>
  <c r="J1236"/>
  <c r="M1236" s="1"/>
  <c r="K1222"/>
  <c r="N1222" s="1"/>
  <c r="K1246"/>
  <c r="N1246" s="1"/>
  <c r="J632"/>
  <c r="M632" s="1"/>
  <c r="J656"/>
  <c r="M656" s="1"/>
  <c r="J680"/>
  <c r="M680" s="1"/>
  <c r="J704"/>
  <c r="M704" s="1"/>
  <c r="J728"/>
  <c r="M728" s="1"/>
  <c r="J752"/>
  <c r="M752" s="1"/>
  <c r="J776"/>
  <c r="M776" s="1"/>
  <c r="J800"/>
  <c r="M800" s="1"/>
  <c r="J824"/>
  <c r="M824" s="1"/>
  <c r="J848"/>
  <c r="M848" s="1"/>
  <c r="K834"/>
  <c r="N834" s="1"/>
  <c r="N3"/>
  <c r="M3"/>
  <c r="L3"/>
  <c r="K3"/>
  <c r="J3"/>
  <c r="I3"/>
  <c r="H3"/>
  <c r="G3"/>
</calcChain>
</file>

<file path=xl/sharedStrings.xml><?xml version="1.0" encoding="utf-8"?>
<sst xmlns="http://schemas.openxmlformats.org/spreadsheetml/2006/main" count="2718" uniqueCount="2570">
  <si>
    <t>Alert background</t>
  </si>
  <si>
    <t>alert-background</t>
  </si>
  <si>
    <t>Alert border</t>
  </si>
  <si>
    <t>alert-border</t>
  </si>
  <si>
    <t>Alert highlight</t>
  </si>
  <si>
    <t>alert-highlight</t>
  </si>
  <si>
    <t>Alert muted foreground</t>
  </si>
  <si>
    <t>alert-muted-foreground</t>
  </si>
  <si>
    <t>General background</t>
  </si>
  <si>
    <t>background</t>
  </si>
  <si>
    <t>Blockquote bar</t>
  </si>
  <si>
    <t>blockquote-bar</t>
  </si>
  <si>
    <t>Default button background</t>
  </si>
  <si>
    <t>button-background</t>
  </si>
  <si>
    <t>Default button border</t>
  </si>
  <si>
    <t>button-border</t>
  </si>
  <si>
    <t>Default button foreground</t>
  </si>
  <si>
    <t>button-foreground</t>
  </si>
  <si>
    <t>Code background</t>
  </si>
  <si>
    <t>code-background</t>
  </si>
  <si>
    <t>Code border</t>
  </si>
  <si>
    <t>code-border</t>
  </si>
  <si>
    <t>Code foreground</t>
  </si>
  <si>
    <t>code-foreground</t>
  </si>
  <si>
    <t>Unsaved changes indicator</t>
  </si>
  <si>
    <t>dirty-indicator</t>
  </si>
  <si>
    <t>Download button background</t>
  </si>
  <si>
    <t>download-background</t>
  </si>
  <si>
    <t>Download button foreground</t>
  </si>
  <si>
    <t>download-foreground</t>
  </si>
  <si>
    <t>Dragger background</t>
  </si>
  <si>
    <t>dragger-background</t>
  </si>
  <si>
    <t>Dragger foreground</t>
  </si>
  <si>
    <t>dragger-foreground</t>
  </si>
  <si>
    <t>Dropdown background</t>
  </si>
  <si>
    <t>dropdown-background</t>
  </si>
  <si>
    <t>Dropdown border</t>
  </si>
  <si>
    <t>dropdown-border</t>
  </si>
  <si>
    <t>Dropdown tab background</t>
  </si>
  <si>
    <t>dropdown-tab-background</t>
  </si>
  <si>
    <t>Dropdown tab background for selected tabs</t>
  </si>
  <si>
    <t>dropdown-tab-background-selected</t>
  </si>
  <si>
    <t>Dropzone background</t>
  </si>
  <si>
    <t>dropzone-background</t>
  </si>
  <si>
    <t>External link background</t>
  </si>
  <si>
    <t>external-link-background</t>
  </si>
  <si>
    <t>External link background hover</t>
  </si>
  <si>
    <t>external-link-background-hover</t>
  </si>
  <si>
    <t>External link background visited</t>
  </si>
  <si>
    <t>external-link-background-visited</t>
  </si>
  <si>
    <t>External link foreground</t>
  </si>
  <si>
    <t>external-link-foreground</t>
  </si>
  <si>
    <t>External link foreground hover</t>
  </si>
  <si>
    <t>external-link-foreground-hover</t>
  </si>
  <si>
    <t>External link foreground visited</t>
  </si>
  <si>
    <t>external-link-foreground-visited</t>
  </si>
  <si>
    <t>General foreground</t>
  </si>
  <si>
    <t>foreground</t>
  </si>
  <si>
    <t>Message box background</t>
  </si>
  <si>
    <t>message-background</t>
  </si>
  <si>
    <t>Message box border</t>
  </si>
  <si>
    <t>message-border</t>
  </si>
  <si>
    <t>Message box foreground</t>
  </si>
  <si>
    <t>message-foreground</t>
  </si>
  <si>
    <t>Modal backdrop</t>
  </si>
  <si>
    <t>modal-backdrop</t>
  </si>
  <si>
    <t>Modal background</t>
  </si>
  <si>
    <t>modal-background</t>
  </si>
  <si>
    <t>Modal border</t>
  </si>
  <si>
    <t>modal-border</t>
  </si>
  <si>
    <t>Modal footer background</t>
  </si>
  <si>
    <t>modal-footer-background</t>
  </si>
  <si>
    <t>Modal footer border</t>
  </si>
  <si>
    <t>modal-footer-border</t>
  </si>
  <si>
    <t>Modal header border</t>
  </si>
  <si>
    <t>modal-header-border</t>
  </si>
  <si>
    <t>General muted foreground</t>
  </si>
  <si>
    <t>muted-foreground</t>
  </si>
  <si>
    <t>Notification background</t>
  </si>
  <si>
    <t>notification-background</t>
  </si>
  <si>
    <t>Notification border</t>
  </si>
  <si>
    <t>notification-border</t>
  </si>
  <si>
    <t>Page background</t>
  </si>
  <si>
    <t>page-background</t>
  </si>
  <si>
    <t>Preformatted code background</t>
  </si>
  <si>
    <t>pre-background</t>
  </si>
  <si>
    <t>Preformatted code border</t>
  </si>
  <si>
    <t>pre-border</t>
  </si>
  <si>
    <t>General primary</t>
  </si>
  <si>
    <t>primary</t>
  </si>
  <si>
    <t>Sidebar button foreground</t>
  </si>
  <si>
    <t>sidebar-button-foreground</t>
  </si>
  <si>
    <t>Sidebar controls foreground</t>
  </si>
  <si>
    <t>sidebar-controls-foreground</t>
  </si>
  <si>
    <t>Sidebar controls foreground hover</t>
  </si>
  <si>
    <t>sidebar-controls-foreground-hover</t>
  </si>
  <si>
    <t>Sidebar foreground</t>
  </si>
  <si>
    <t>sidebar-foreground</t>
  </si>
  <si>
    <t>Sidebar foreground shadow</t>
  </si>
  <si>
    <t>sidebar-foreground-shadow</t>
  </si>
  <si>
    <t>Sidebar muted foreground</t>
  </si>
  <si>
    <t>sidebar-muted-foreground</t>
  </si>
  <si>
    <t>Sidebar muted foreground hover</t>
  </si>
  <si>
    <t>sidebar-muted-foreground-hover</t>
  </si>
  <si>
    <t>Sidebar tab background</t>
  </si>
  <si>
    <t>sidebar-tab-background</t>
  </si>
  <si>
    <t>Sidebar tab background for selected tabs</t>
  </si>
  <si>
    <t>sidebar-tab-background-selected</t>
  </si>
  <si>
    <t>Sidebar tab border</t>
  </si>
  <si>
    <t>sidebar-tab-border</t>
  </si>
  <si>
    <t>Sidebar tab border for selected tabs</t>
  </si>
  <si>
    <t>sidebar-tab-border-selected</t>
  </si>
  <si>
    <t>Sidebar tab divider</t>
  </si>
  <si>
    <t>sidebar-tab-divider</t>
  </si>
  <si>
    <t>Sidebar tab foreground</t>
  </si>
  <si>
    <t>sidebar-tab-foreground</t>
  </si>
  <si>
    <t>Sidebar tab foreground for selected tabs</t>
  </si>
  <si>
    <t>sidebar-tab-foreground-selected</t>
  </si>
  <si>
    <t>Sidebar tiddler link foreground</t>
  </si>
  <si>
    <t>sidebar-tiddler-link-foreground</t>
  </si>
  <si>
    <t>Sidebar tiddler link foreground hover</t>
  </si>
  <si>
    <t>sidebar-tiddler-link-foreground-hover</t>
  </si>
  <si>
    <t>Site title foreground</t>
  </si>
  <si>
    <t>site-title-foreground</t>
  </si>
  <si>
    <t>Static alert foreground</t>
  </si>
  <si>
    <t>static-alert-foreground</t>
  </si>
  <si>
    <t>Tab background</t>
  </si>
  <si>
    <t>tab-background</t>
  </si>
  <si>
    <t>Tab background for selected tabs</t>
  </si>
  <si>
    <t>tab-background-selected</t>
  </si>
  <si>
    <t>Tab border</t>
  </si>
  <si>
    <t>tab-border</t>
  </si>
  <si>
    <t>Tab border for selected tabs</t>
  </si>
  <si>
    <t>tab-border-selected</t>
  </si>
  <si>
    <t>Tab divider</t>
  </si>
  <si>
    <t>tab-divider</t>
  </si>
  <si>
    <t>Tab foreground</t>
  </si>
  <si>
    <t>tab-foreground</t>
  </si>
  <si>
    <t>Tab foreground for selected tabs</t>
  </si>
  <si>
    <t>tab-foreground-selected</t>
  </si>
  <si>
    <t>Table border</t>
  </si>
  <si>
    <t>table-border</t>
  </si>
  <si>
    <t>Table footer background</t>
  </si>
  <si>
    <t>table-footer-background</t>
  </si>
  <si>
    <t>Table header background</t>
  </si>
  <si>
    <t>table-header-background</t>
  </si>
  <si>
    <t>Tag background</t>
  </si>
  <si>
    <t>tag-background</t>
  </si>
  <si>
    <t>Tag foreground</t>
  </si>
  <si>
    <t>tag-foreground</t>
  </si>
  <si>
    <t>Tiddler background</t>
  </si>
  <si>
    <t>tiddler-background</t>
  </si>
  <si>
    <t>Tiddler border</t>
  </si>
  <si>
    <t>tiddler-border</t>
  </si>
  <si>
    <t>Tiddler controls foreground</t>
  </si>
  <si>
    <t>tiddler-controls-foreground</t>
  </si>
  <si>
    <t>Tiddler controls foreground hover</t>
  </si>
  <si>
    <t>tiddler-controls-foreground-hover</t>
  </si>
  <si>
    <t>Tiddler controls foreground for selected controls</t>
  </si>
  <si>
    <t>tiddler-controls-foreground-selected</t>
  </si>
  <si>
    <t>Tiddler editor background</t>
  </si>
  <si>
    <t>tiddler-editor-background</t>
  </si>
  <si>
    <t>Tiddler editor border</t>
  </si>
  <si>
    <t>tiddler-editor-border</t>
  </si>
  <si>
    <t>Tiddler editor border image</t>
  </si>
  <si>
    <t>tiddler-editor-border-image</t>
  </si>
  <si>
    <t>Tiddler editor background for even fields</t>
  </si>
  <si>
    <t>tiddler-editor-fields-even</t>
  </si>
  <si>
    <t>Tiddler editor background for odd fields</t>
  </si>
  <si>
    <t>tiddler-editor-fields-odd</t>
  </si>
  <si>
    <t>Tiddler info panel background</t>
  </si>
  <si>
    <t>tiddler-info-background</t>
  </si>
  <si>
    <t>Tiddler info panel border</t>
  </si>
  <si>
    <t>tiddler-info-border</t>
  </si>
  <si>
    <t>Tiddler info panel tab background</t>
  </si>
  <si>
    <t>tiddler-info-tab-background</t>
  </si>
  <si>
    <t>Tiddler link background</t>
  </si>
  <si>
    <t>tiddler-link-background</t>
  </si>
  <si>
    <t>Tiddler link foreground</t>
  </si>
  <si>
    <t>tiddler-link-foreground</t>
  </si>
  <si>
    <t>Tiddler subtitle foreground</t>
  </si>
  <si>
    <t>tiddler-subtitle-foreground</t>
  </si>
  <si>
    <t>Tiddler title foreground</t>
  </si>
  <si>
    <t>tiddler-title-foreground</t>
  </si>
  <si>
    <t>Toolbar 'cancel' button foreground</t>
  </si>
  <si>
    <t>toolbar-cancel-button</t>
  </si>
  <si>
    <t>Toolbar 'close' button foreground</t>
  </si>
  <si>
    <t>toolbar-close-button</t>
  </si>
  <si>
    <t>Toolbar 'delete' button foreground</t>
  </si>
  <si>
    <t>toolbar-delete-button</t>
  </si>
  <si>
    <t>Toolbar 'done' button foreground</t>
  </si>
  <si>
    <t>toolbar-done-button</t>
  </si>
  <si>
    <t>Toolbar 'edit' button foreground</t>
  </si>
  <si>
    <t>toolbar-edit-button</t>
  </si>
  <si>
    <t>Toolbar 'info' button foreground</t>
  </si>
  <si>
    <t>toolbar-info-button</t>
  </si>
  <si>
    <t>Toolbar 'new tiddler' button foreground</t>
  </si>
  <si>
    <t>toolbar-new-button</t>
  </si>
  <si>
    <t>Toolbar 'options' button foreground</t>
  </si>
  <si>
    <t>toolbar-options-button</t>
  </si>
  <si>
    <t>Toolbar 'save' button foreground</t>
  </si>
  <si>
    <t>toolbar-save-button</t>
  </si>
  <si>
    <t>Untagged pill background</t>
  </si>
  <si>
    <t>untagged-background</t>
  </si>
  <si>
    <t>Absolute Zero</t>
  </si>
  <si>
    <t>#0048BA</t>
  </si>
  <si>
    <t>Acid green</t>
  </si>
  <si>
    <t>#B0BF1A</t>
  </si>
  <si>
    <t>Aero</t>
  </si>
  <si>
    <t>#7CB9E8</t>
  </si>
  <si>
    <t>Aero blue</t>
  </si>
  <si>
    <t>#C9FFE5</t>
  </si>
  <si>
    <t>African violet</t>
  </si>
  <si>
    <t>#B284BE</t>
  </si>
  <si>
    <t>Air Force blue (RAF)</t>
  </si>
  <si>
    <t>#5D8AA8</t>
  </si>
  <si>
    <t>Air Force blue (USAF)</t>
  </si>
  <si>
    <t>#00308F</t>
  </si>
  <si>
    <t>Air superiority blue</t>
  </si>
  <si>
    <t>#72A0C1</t>
  </si>
  <si>
    <t>Alabama crimson</t>
  </si>
  <si>
    <t>#AF002A</t>
  </si>
  <si>
    <t>Alice blue</t>
  </si>
  <si>
    <t>#F0F8FF</t>
  </si>
  <si>
    <t>Alien Armpit</t>
  </si>
  <si>
    <t>#84DE02</t>
  </si>
  <si>
    <t>Alizarin crimson</t>
  </si>
  <si>
    <t>#E32636</t>
  </si>
  <si>
    <t>Alloy orange</t>
  </si>
  <si>
    <t>#C46210</t>
  </si>
  <si>
    <t>Almond</t>
  </si>
  <si>
    <t>#EFDECD</t>
  </si>
  <si>
    <t>Amaranth</t>
  </si>
  <si>
    <t>#E52B50</t>
  </si>
  <si>
    <t>Amaranth deep purple</t>
  </si>
  <si>
    <t>#AB274F</t>
  </si>
  <si>
    <t>Amaranth pink</t>
  </si>
  <si>
    <t>#F19CBB</t>
  </si>
  <si>
    <t>Amaranth purple</t>
  </si>
  <si>
    <t>Amaranth red</t>
  </si>
  <si>
    <t>#D3212D</t>
  </si>
  <si>
    <t>Amazon</t>
  </si>
  <si>
    <t>#3B7A57</t>
  </si>
  <si>
    <t>Amber</t>
  </si>
  <si>
    <t>#FFBF00</t>
  </si>
  <si>
    <t>Amber (SAE/ECE)</t>
  </si>
  <si>
    <t>#FF7E00</t>
  </si>
  <si>
    <t>American rose</t>
  </si>
  <si>
    <t>#FF033E</t>
  </si>
  <si>
    <t>Amethyst</t>
  </si>
  <si>
    <t>#9966CC</t>
  </si>
  <si>
    <t>Android green</t>
  </si>
  <si>
    <t>#A4C639</t>
  </si>
  <si>
    <t>Anti-flash white</t>
  </si>
  <si>
    <t>#F2F3F4</t>
  </si>
  <si>
    <t>Antique brass</t>
  </si>
  <si>
    <t>#CD9575</t>
  </si>
  <si>
    <t>Antique bronze</t>
  </si>
  <si>
    <t>#665D1E</t>
  </si>
  <si>
    <t>Antique fuchsia</t>
  </si>
  <si>
    <t>#915C83</t>
  </si>
  <si>
    <t>Antique ruby</t>
  </si>
  <si>
    <t>#841B2D</t>
  </si>
  <si>
    <t>Antique white</t>
  </si>
  <si>
    <t>#FAEBD7</t>
  </si>
  <si>
    <t>Ao (English)</t>
  </si>
  <si>
    <t>#008000</t>
  </si>
  <si>
    <t>Apple green</t>
  </si>
  <si>
    <t>#8DB600</t>
  </si>
  <si>
    <t>Apricot</t>
  </si>
  <si>
    <t>#FBCEB1</t>
  </si>
  <si>
    <t>Aqua</t>
  </si>
  <si>
    <t>#00FFFF</t>
  </si>
  <si>
    <t>Aquamarine</t>
  </si>
  <si>
    <t>#7FFFD4</t>
  </si>
  <si>
    <t>Arctic lime</t>
  </si>
  <si>
    <t>#D0FF14</t>
  </si>
  <si>
    <t>Army green</t>
  </si>
  <si>
    <t>#4B5320</t>
  </si>
  <si>
    <t>Arsenic</t>
  </si>
  <si>
    <t>#3B444B</t>
  </si>
  <si>
    <t>Artichoke</t>
  </si>
  <si>
    <t>#8F9779</t>
  </si>
  <si>
    <t>Arylide yellow</t>
  </si>
  <si>
    <t>#E9D66B</t>
  </si>
  <si>
    <t>Ash grey</t>
  </si>
  <si>
    <t>#B2BEB5</t>
  </si>
  <si>
    <t>Asparagus</t>
  </si>
  <si>
    <t>#87A96B</t>
  </si>
  <si>
    <t>Atomic tangerine</t>
  </si>
  <si>
    <t>#FF9966</t>
  </si>
  <si>
    <t>Auburn</t>
  </si>
  <si>
    <t>#A52A2A</t>
  </si>
  <si>
    <t>Aureolin</t>
  </si>
  <si>
    <t>#FDEE00</t>
  </si>
  <si>
    <t>AuroMetalSaurus</t>
  </si>
  <si>
    <t>#6E7F80</t>
  </si>
  <si>
    <t>Avocado</t>
  </si>
  <si>
    <t>#568203</t>
  </si>
  <si>
    <t>Aztec Gold</t>
  </si>
  <si>
    <t>#C39953</t>
  </si>
  <si>
    <t>Azure</t>
  </si>
  <si>
    <t>#007FFF</t>
  </si>
  <si>
    <t>Azure (web color)</t>
  </si>
  <si>
    <t>#F0FFFF</t>
  </si>
  <si>
    <t>Azure mist</t>
  </si>
  <si>
    <t>Azureish white</t>
  </si>
  <si>
    <t>#DBE9F4</t>
  </si>
  <si>
    <t>Baby blue</t>
  </si>
  <si>
    <t>#89CFF0</t>
  </si>
  <si>
    <t>Baby blue eyes</t>
  </si>
  <si>
    <t>#A1CAF1</t>
  </si>
  <si>
    <t>Baby pink</t>
  </si>
  <si>
    <t>#F4C2C2</t>
  </si>
  <si>
    <t>Baby powder</t>
  </si>
  <si>
    <t>#FEFEFA</t>
  </si>
  <si>
    <t>Baker-Miller pink</t>
  </si>
  <si>
    <t>#FF91AF</t>
  </si>
  <si>
    <t>Ball blue</t>
  </si>
  <si>
    <t>#21ABCD</t>
  </si>
  <si>
    <t>Banana Mania</t>
  </si>
  <si>
    <t>#FAE7B5</t>
  </si>
  <si>
    <t>Banana yellow</t>
  </si>
  <si>
    <t>#FFE135</t>
  </si>
  <si>
    <t>Bangladesh green</t>
  </si>
  <si>
    <t>#006A4E</t>
  </si>
  <si>
    <t>Barbie pink</t>
  </si>
  <si>
    <t>#E0218A</t>
  </si>
  <si>
    <t>Barn red</t>
  </si>
  <si>
    <t>#7C0A02</t>
  </si>
  <si>
    <t>Battleship grey</t>
  </si>
  <si>
    <t>#848482</t>
  </si>
  <si>
    <t>Bazaar</t>
  </si>
  <si>
    <t>#98777B</t>
  </si>
  <si>
    <t>Beau blue</t>
  </si>
  <si>
    <t>#BCD4E6</t>
  </si>
  <si>
    <t>Beaver</t>
  </si>
  <si>
    <t>#9F8170</t>
  </si>
  <si>
    <t>Beige</t>
  </si>
  <si>
    <t>#F5F5DC</t>
  </si>
  <si>
    <t>Belgion</t>
  </si>
  <si>
    <t>#ADD8FF</t>
  </si>
  <si>
    <t>B'dazzled blue</t>
  </si>
  <si>
    <t>#2E5894</t>
  </si>
  <si>
    <t>Big dip oâ€™ruby</t>
  </si>
  <si>
    <t>#9C2542</t>
  </si>
  <si>
    <t>Big Foot Feet</t>
  </si>
  <si>
    <t>#E88E5A</t>
  </si>
  <si>
    <t>Bisque</t>
  </si>
  <si>
    <t>#FFE4C4</t>
  </si>
  <si>
    <t>Bistre</t>
  </si>
  <si>
    <t>#3D2B1F</t>
  </si>
  <si>
    <t>Bistre brown</t>
  </si>
  <si>
    <t>#967117</t>
  </si>
  <si>
    <t>Bitter lemon</t>
  </si>
  <si>
    <t>#CAE00D</t>
  </si>
  <si>
    <t>Bitter lime</t>
  </si>
  <si>
    <t>#BFFF00</t>
  </si>
  <si>
    <t>Bittersweet</t>
  </si>
  <si>
    <t>#FE6F5E</t>
  </si>
  <si>
    <t>Bittersweet shimmer</t>
  </si>
  <si>
    <t>#BF4F51</t>
  </si>
  <si>
    <t>Black</t>
  </si>
  <si>
    <t>#000000</t>
  </si>
  <si>
    <t>Black bean</t>
  </si>
  <si>
    <t>#3D0C02</t>
  </si>
  <si>
    <t>Black Coral</t>
  </si>
  <si>
    <t>#54626F</t>
  </si>
  <si>
    <t>Black leather jacket</t>
  </si>
  <si>
    <t>#253529</t>
  </si>
  <si>
    <t>Black olive</t>
  </si>
  <si>
    <t>#3B3C36</t>
  </si>
  <si>
    <t>Black Shadows</t>
  </si>
  <si>
    <t>#BFAFB2</t>
  </si>
  <si>
    <t>Blanched almond</t>
  </si>
  <si>
    <t>#FFEBCD</t>
  </si>
  <si>
    <t>Blast-off bronze</t>
  </si>
  <si>
    <t>#A57164</t>
  </si>
  <si>
    <t>Bleu de France</t>
  </si>
  <si>
    <t>#318CE7</t>
  </si>
  <si>
    <t>Blizzard Blue</t>
  </si>
  <si>
    <t>#ACE5EE</t>
  </si>
  <si>
    <t>Blond</t>
  </si>
  <si>
    <t>#FAF0BE</t>
  </si>
  <si>
    <t>Blue</t>
  </si>
  <si>
    <t>#0000FF</t>
  </si>
  <si>
    <t>Blue (Crayola)</t>
  </si>
  <si>
    <t>#1F75FE</t>
  </si>
  <si>
    <t>Blue (Munsell)</t>
  </si>
  <si>
    <t>#0093AF</t>
  </si>
  <si>
    <t>Blue (NCS)</t>
  </si>
  <si>
    <t>#0087BD</t>
  </si>
  <si>
    <t>Blue (Pantone)</t>
  </si>
  <si>
    <t>#0018A8</t>
  </si>
  <si>
    <t>Blue (pigment)</t>
  </si>
  <si>
    <t>#333399</t>
  </si>
  <si>
    <t>Blue (RYB)</t>
  </si>
  <si>
    <t>#0247FE</t>
  </si>
  <si>
    <t>Blue Bell</t>
  </si>
  <si>
    <t>#A2A2D0</t>
  </si>
  <si>
    <t>Blue-gray</t>
  </si>
  <si>
    <t>#6699CC</t>
  </si>
  <si>
    <t>Blue-green</t>
  </si>
  <si>
    <t>#0D98BA</t>
  </si>
  <si>
    <t>Blue Jeans</t>
  </si>
  <si>
    <t>#5DADEC</t>
  </si>
  <si>
    <t>Blue Lagoon</t>
  </si>
  <si>
    <t>Blue-magenta violet</t>
  </si>
  <si>
    <t>#553592</t>
  </si>
  <si>
    <t>Blue sapphire</t>
  </si>
  <si>
    <t>#126180</t>
  </si>
  <si>
    <t>Blue-violet</t>
  </si>
  <si>
    <t>#8A2BE2</t>
  </si>
  <si>
    <t>Blue yonder</t>
  </si>
  <si>
    <t>#5072A7</t>
  </si>
  <si>
    <t>Blueberry</t>
  </si>
  <si>
    <t>#4F86F7</t>
  </si>
  <si>
    <t>Bluebonnet</t>
  </si>
  <si>
    <t>#1C1CF0</t>
  </si>
  <si>
    <t>Blush</t>
  </si>
  <si>
    <t>#DE5D83</t>
  </si>
  <si>
    <t>Bole</t>
  </si>
  <si>
    <t>#79443B</t>
  </si>
  <si>
    <t>Bondi blue</t>
  </si>
  <si>
    <t>#0095B6</t>
  </si>
  <si>
    <t>Bone</t>
  </si>
  <si>
    <t>#E3DAC9</t>
  </si>
  <si>
    <t>Booger Buster</t>
  </si>
  <si>
    <t>#DDE26A</t>
  </si>
  <si>
    <t>Boston University Red</t>
  </si>
  <si>
    <t>#CC0000</t>
  </si>
  <si>
    <t>Bottle green</t>
  </si>
  <si>
    <t>Boysenberry</t>
  </si>
  <si>
    <t>#873260</t>
  </si>
  <si>
    <t>Brandeis blue</t>
  </si>
  <si>
    <t>#0070FF</t>
  </si>
  <si>
    <t>Brass</t>
  </si>
  <si>
    <t>#B5A642</t>
  </si>
  <si>
    <t>Brick red</t>
  </si>
  <si>
    <t>#CB4154</t>
  </si>
  <si>
    <t>Bright cerulean</t>
  </si>
  <si>
    <t>#1DACD6</t>
  </si>
  <si>
    <t>Bright green</t>
  </si>
  <si>
    <t>#66FF00</t>
  </si>
  <si>
    <t>Bright lavender</t>
  </si>
  <si>
    <t>#BF94E4</t>
  </si>
  <si>
    <t>Bright lilac</t>
  </si>
  <si>
    <t>#D891EF</t>
  </si>
  <si>
    <t>Bright maroon</t>
  </si>
  <si>
    <t>#C32148</t>
  </si>
  <si>
    <t>Bright navy blue</t>
  </si>
  <si>
    <t>#1974D2</t>
  </si>
  <si>
    <t>Bright pink</t>
  </si>
  <si>
    <t>#FF007F</t>
  </si>
  <si>
    <t>Bright turquoise</t>
  </si>
  <si>
    <t>#08E8DE</t>
  </si>
  <si>
    <t>Bright ube</t>
  </si>
  <si>
    <t>#D19FE8</t>
  </si>
  <si>
    <t>Bright Yellow (Crayola)</t>
  </si>
  <si>
    <t>#FFAA1D</t>
  </si>
  <si>
    <t>Brilliant azure</t>
  </si>
  <si>
    <t>#3399FF</t>
  </si>
  <si>
    <t>Brilliant lavender</t>
  </si>
  <si>
    <t>#F4BBFF</t>
  </si>
  <si>
    <t>Brilliant rose</t>
  </si>
  <si>
    <t>#FF55A3</t>
  </si>
  <si>
    <t>Brink pink</t>
  </si>
  <si>
    <t>#FB607F</t>
  </si>
  <si>
    <t>British racing green</t>
  </si>
  <si>
    <t>#004225</t>
  </si>
  <si>
    <t>Bronze</t>
  </si>
  <si>
    <t>#CD7F32</t>
  </si>
  <si>
    <t>Bronze Yellow</t>
  </si>
  <si>
    <t>#737000</t>
  </si>
  <si>
    <t>Brown (traditional)</t>
  </si>
  <si>
    <t>#964B00</t>
  </si>
  <si>
    <t>Brown (web)</t>
  </si>
  <si>
    <t>Brown-nose</t>
  </si>
  <si>
    <t>#6B4423</t>
  </si>
  <si>
    <t>Brown Sugar</t>
  </si>
  <si>
    <t>#AF6E4D</t>
  </si>
  <si>
    <t>Brown Yellow</t>
  </si>
  <si>
    <t>#cc9966</t>
  </si>
  <si>
    <t>Brunswick green</t>
  </si>
  <si>
    <t>#1B4D3E</t>
  </si>
  <si>
    <t>Bubble gum</t>
  </si>
  <si>
    <t>#FFC1CC</t>
  </si>
  <si>
    <t>Bubbles</t>
  </si>
  <si>
    <t>#E7FEFF</t>
  </si>
  <si>
    <t>Bud green</t>
  </si>
  <si>
    <t>#7BB661</t>
  </si>
  <si>
    <t>Buff</t>
  </si>
  <si>
    <t>#F0DC82</t>
  </si>
  <si>
    <t>Bulgarian rose</t>
  </si>
  <si>
    <t>#480607</t>
  </si>
  <si>
    <t>Burgundy</t>
  </si>
  <si>
    <t>#800020</t>
  </si>
  <si>
    <t>Burlywood</t>
  </si>
  <si>
    <t>#DEB887</t>
  </si>
  <si>
    <t>Burnished Brown</t>
  </si>
  <si>
    <t>#A17A74</t>
  </si>
  <si>
    <t>Burnt orange</t>
  </si>
  <si>
    <t>#CC5500</t>
  </si>
  <si>
    <t>Burnt sienna</t>
  </si>
  <si>
    <t>#E97451</t>
  </si>
  <si>
    <t>Burnt umber</t>
  </si>
  <si>
    <t>#8A3324</t>
  </si>
  <si>
    <t>Byzantine</t>
  </si>
  <si>
    <t>#BD33A4</t>
  </si>
  <si>
    <t>Byzantium</t>
  </si>
  <si>
    <t>#702963</t>
  </si>
  <si>
    <t>Cadet</t>
  </si>
  <si>
    <t>#536872</t>
  </si>
  <si>
    <t>Cadet blue</t>
  </si>
  <si>
    <t>#5F9EA0</t>
  </si>
  <si>
    <t>Cadet grey</t>
  </si>
  <si>
    <t>#91A3B0</t>
  </si>
  <si>
    <t>Cadmium green</t>
  </si>
  <si>
    <t>#006B3C</t>
  </si>
  <si>
    <t>Cadmium orange</t>
  </si>
  <si>
    <t>#ED872D</t>
  </si>
  <si>
    <t>Cadmium red</t>
  </si>
  <si>
    <t>#E30022</t>
  </si>
  <si>
    <t>Cadmium yellow</t>
  </si>
  <si>
    <t>#FFF600</t>
  </si>
  <si>
    <t>CafÃ© au lait</t>
  </si>
  <si>
    <t>#A67B5B</t>
  </si>
  <si>
    <t>CafÃ© noir</t>
  </si>
  <si>
    <t>#4B3621</t>
  </si>
  <si>
    <t>Cal Poly green</t>
  </si>
  <si>
    <t>#1E4D2B</t>
  </si>
  <si>
    <t>Cambridge Blue</t>
  </si>
  <si>
    <t>#A3C1AD</t>
  </si>
  <si>
    <t>Camel</t>
  </si>
  <si>
    <t>#C19A6B</t>
  </si>
  <si>
    <t>Cameo pink</t>
  </si>
  <si>
    <t>#EFBBCC</t>
  </si>
  <si>
    <t>Camouflage green</t>
  </si>
  <si>
    <t>#78866B</t>
  </si>
  <si>
    <t>Canary yellow</t>
  </si>
  <si>
    <t>#FFEF00</t>
  </si>
  <si>
    <t>Candy apple red</t>
  </si>
  <si>
    <t>#FF0800</t>
  </si>
  <si>
    <t>Candy pink</t>
  </si>
  <si>
    <t>#E4717A</t>
  </si>
  <si>
    <t>Capri</t>
  </si>
  <si>
    <t>#00BFFF</t>
  </si>
  <si>
    <t>Caput mortuum</t>
  </si>
  <si>
    <t>#592720</t>
  </si>
  <si>
    <t>Cardinal</t>
  </si>
  <si>
    <t>#C41E3A</t>
  </si>
  <si>
    <t>Caribbean green</t>
  </si>
  <si>
    <t>#00CC99</t>
  </si>
  <si>
    <t>Carmine</t>
  </si>
  <si>
    <t>#960018</t>
  </si>
  <si>
    <t>Carmine (M&amp;P)</t>
  </si>
  <si>
    <t>#D70040</t>
  </si>
  <si>
    <t>Carmine pink</t>
  </si>
  <si>
    <t>#EB4C42</t>
  </si>
  <si>
    <t>Carmine red</t>
  </si>
  <si>
    <t>#FF0038</t>
  </si>
  <si>
    <t>Carnation pink</t>
  </si>
  <si>
    <t>#FFA6C9</t>
  </si>
  <si>
    <t>Carnelian</t>
  </si>
  <si>
    <t>#B31B1B</t>
  </si>
  <si>
    <t>Carolina blue</t>
  </si>
  <si>
    <t>#56A0D3</t>
  </si>
  <si>
    <t>Carrot orange</t>
  </si>
  <si>
    <t>#ED9121</t>
  </si>
  <si>
    <t>Castleton green</t>
  </si>
  <si>
    <t>#00563F</t>
  </si>
  <si>
    <t>Catalina blue</t>
  </si>
  <si>
    <t>#062A78</t>
  </si>
  <si>
    <t>Catawba</t>
  </si>
  <si>
    <t>#703642</t>
  </si>
  <si>
    <t>Cedar Chest</t>
  </si>
  <si>
    <t>#C95A49</t>
  </si>
  <si>
    <t>Ceil</t>
  </si>
  <si>
    <t>#92A1CF</t>
  </si>
  <si>
    <t>Celadon</t>
  </si>
  <si>
    <t>#ACE1AF</t>
  </si>
  <si>
    <t>Celadon blue</t>
  </si>
  <si>
    <t>#007BA7</t>
  </si>
  <si>
    <t>Celadon green</t>
  </si>
  <si>
    <t>#2F847C</t>
  </si>
  <si>
    <t>Celeste</t>
  </si>
  <si>
    <t>#B2FFFF</t>
  </si>
  <si>
    <t>Celestial blue</t>
  </si>
  <si>
    <t>#4997D0</t>
  </si>
  <si>
    <t>Cerise</t>
  </si>
  <si>
    <t>#DE3163</t>
  </si>
  <si>
    <t>Cerise pink</t>
  </si>
  <si>
    <t>#EC3B83</t>
  </si>
  <si>
    <t>Cerulean</t>
  </si>
  <si>
    <t>Cerulean blue</t>
  </si>
  <si>
    <t>#2A52BE</t>
  </si>
  <si>
    <t>Cerulean frost</t>
  </si>
  <si>
    <t>#6D9BC3</t>
  </si>
  <si>
    <t>CG Blue</t>
  </si>
  <si>
    <t>#007AA5</t>
  </si>
  <si>
    <t>CG Red</t>
  </si>
  <si>
    <t>#E03C31</t>
  </si>
  <si>
    <t>Chamoisee</t>
  </si>
  <si>
    <t>#A0785A</t>
  </si>
  <si>
    <t>Champagne</t>
  </si>
  <si>
    <t>#F7E7CE</t>
  </si>
  <si>
    <t>Charcoal</t>
  </si>
  <si>
    <t>#36454F</t>
  </si>
  <si>
    <t>Charleston green</t>
  </si>
  <si>
    <t>#232B2B</t>
  </si>
  <si>
    <t>Charm pink</t>
  </si>
  <si>
    <t>#E68FAC</t>
  </si>
  <si>
    <t>Chartreuse (traditional)</t>
  </si>
  <si>
    <t>#DFFF00</t>
  </si>
  <si>
    <t>Chartreuse (web)</t>
  </si>
  <si>
    <t>#7FFF00</t>
  </si>
  <si>
    <t>Cherry</t>
  </si>
  <si>
    <t>Cherry blossom pink</t>
  </si>
  <si>
    <t>#FFB7C5</t>
  </si>
  <si>
    <t>Chestnut</t>
  </si>
  <si>
    <t>#954535</t>
  </si>
  <si>
    <t>China pink</t>
  </si>
  <si>
    <t>#DE6FA1</t>
  </si>
  <si>
    <t>China rose</t>
  </si>
  <si>
    <t>#A8516E</t>
  </si>
  <si>
    <t>Chinese red</t>
  </si>
  <si>
    <t>#AA381E</t>
  </si>
  <si>
    <t>Chinese violet</t>
  </si>
  <si>
    <t>#856088</t>
  </si>
  <si>
    <t>Chlorophyll green</t>
  </si>
  <si>
    <t>#4AFF00</t>
  </si>
  <si>
    <t>Chocolate (traditional)</t>
  </si>
  <si>
    <t>#7B3F00</t>
  </si>
  <si>
    <t>Chocolate (web)</t>
  </si>
  <si>
    <t>#D2691E</t>
  </si>
  <si>
    <t>Chrome yellow</t>
  </si>
  <si>
    <t>#FFA700</t>
  </si>
  <si>
    <t>Cinereous</t>
  </si>
  <si>
    <t>#98817B</t>
  </si>
  <si>
    <t>Cinnabar</t>
  </si>
  <si>
    <t>#E34234</t>
  </si>
  <si>
    <t>Cinnamon[citation needed]</t>
  </si>
  <si>
    <t>Cinnamon Satin</t>
  </si>
  <si>
    <t>#CD607E</t>
  </si>
  <si>
    <t>Citrine</t>
  </si>
  <si>
    <t>#E4D00A</t>
  </si>
  <si>
    <t>Citron</t>
  </si>
  <si>
    <t>#9FA91F</t>
  </si>
  <si>
    <t>Claret</t>
  </si>
  <si>
    <t>#7F1734</t>
  </si>
  <si>
    <t>Classic rose</t>
  </si>
  <si>
    <t>#FBCCE7</t>
  </si>
  <si>
    <t>Cobalt Blue</t>
  </si>
  <si>
    <t>#0047AB</t>
  </si>
  <si>
    <t>Cocoa brown</t>
  </si>
  <si>
    <t>Coconut</t>
  </si>
  <si>
    <t>#965A3E</t>
  </si>
  <si>
    <t>Coffee</t>
  </si>
  <si>
    <t>#6F4E37</t>
  </si>
  <si>
    <t>Columbia Blue</t>
  </si>
  <si>
    <t>#C4D8E2</t>
  </si>
  <si>
    <t>Congo pink</t>
  </si>
  <si>
    <t>#F88379</t>
  </si>
  <si>
    <t>Cool Black</t>
  </si>
  <si>
    <t>#002E63</t>
  </si>
  <si>
    <t>Cool grey</t>
  </si>
  <si>
    <t>#8C92AC</t>
  </si>
  <si>
    <t>Copper</t>
  </si>
  <si>
    <t>#B87333</t>
  </si>
  <si>
    <t>Copper (Crayola)</t>
  </si>
  <si>
    <t>#DA8A67</t>
  </si>
  <si>
    <t>Copper penny</t>
  </si>
  <si>
    <t>#AD6F69</t>
  </si>
  <si>
    <t>Copper red</t>
  </si>
  <si>
    <t>#CB6D51</t>
  </si>
  <si>
    <t>Copper rose</t>
  </si>
  <si>
    <t>#996666</t>
  </si>
  <si>
    <t>Coquelicot</t>
  </si>
  <si>
    <t>#FF3800</t>
  </si>
  <si>
    <t>Coral</t>
  </si>
  <si>
    <t>#FF7F50</t>
  </si>
  <si>
    <t>Coral pink</t>
  </si>
  <si>
    <t>Coral red</t>
  </si>
  <si>
    <t>#FF4040</t>
  </si>
  <si>
    <t>Cordovan</t>
  </si>
  <si>
    <t>#893F45</t>
  </si>
  <si>
    <t>Corn</t>
  </si>
  <si>
    <t>#FBEC5D</t>
  </si>
  <si>
    <t>Cornell Red</t>
  </si>
  <si>
    <t>Cornflower blue</t>
  </si>
  <si>
    <t>#6495ED</t>
  </si>
  <si>
    <t>Cornsilk</t>
  </si>
  <si>
    <t>#FFF8DC</t>
  </si>
  <si>
    <t>Cosmic Cobalt</t>
  </si>
  <si>
    <t>#2E2D88</t>
  </si>
  <si>
    <t>Cosmic latte</t>
  </si>
  <si>
    <t>#FFF8E7</t>
  </si>
  <si>
    <t>Coyote brown</t>
  </si>
  <si>
    <t>#81613e</t>
  </si>
  <si>
    <t>Cotton candy</t>
  </si>
  <si>
    <t>#FFBCD9</t>
  </si>
  <si>
    <t>Cream</t>
  </si>
  <si>
    <t>#FFFDD0</t>
  </si>
  <si>
    <t>Crimson</t>
  </si>
  <si>
    <t>#DC143C</t>
  </si>
  <si>
    <t>Crimson glory</t>
  </si>
  <si>
    <t>#BE0032</t>
  </si>
  <si>
    <t>Crimson red</t>
  </si>
  <si>
    <t>#990000</t>
  </si>
  <si>
    <t>Cultured</t>
  </si>
  <si>
    <t>#F5F5F5</t>
  </si>
  <si>
    <t>Cyan</t>
  </si>
  <si>
    <t>Cyan azure</t>
  </si>
  <si>
    <t>#4E82b4</t>
  </si>
  <si>
    <t>Cyan-blue azure</t>
  </si>
  <si>
    <t>#4682BF</t>
  </si>
  <si>
    <t>Cyan cobalt blue</t>
  </si>
  <si>
    <t>#28589C</t>
  </si>
  <si>
    <t>Cyan cornflower blue</t>
  </si>
  <si>
    <t>#188BC2</t>
  </si>
  <si>
    <t>Cyan (process)</t>
  </si>
  <si>
    <t>#00B7EB</t>
  </si>
  <si>
    <t>Cyber grape</t>
  </si>
  <si>
    <t>#58427C</t>
  </si>
  <si>
    <t>Cyber yellow</t>
  </si>
  <si>
    <t>#FFD300</t>
  </si>
  <si>
    <t>Cyclamen</t>
  </si>
  <si>
    <t>#F56FA1</t>
  </si>
  <si>
    <t>Daffodil</t>
  </si>
  <si>
    <t>#FFFF31</t>
  </si>
  <si>
    <t>Dandelion</t>
  </si>
  <si>
    <t>#F0E130</t>
  </si>
  <si>
    <t>Dark blue</t>
  </si>
  <si>
    <t>#00008B</t>
  </si>
  <si>
    <t>Dark blue-gray</t>
  </si>
  <si>
    <t>#666699</t>
  </si>
  <si>
    <t>Dark brown</t>
  </si>
  <si>
    <t>#654321</t>
  </si>
  <si>
    <t>Dark brown-tangelo</t>
  </si>
  <si>
    <t>#88654E</t>
  </si>
  <si>
    <t>Dark byzantium</t>
  </si>
  <si>
    <t>#5D3954</t>
  </si>
  <si>
    <t>Dark candy apple red</t>
  </si>
  <si>
    <t>#A40000</t>
  </si>
  <si>
    <t>Dark cerulean</t>
  </si>
  <si>
    <t>#08457E</t>
  </si>
  <si>
    <t>Dark chestnut</t>
  </si>
  <si>
    <t>#986960</t>
  </si>
  <si>
    <t>Dark coral</t>
  </si>
  <si>
    <t>#CD5B45</t>
  </si>
  <si>
    <t>Dark cyan</t>
  </si>
  <si>
    <t>#008B8B</t>
  </si>
  <si>
    <t>Dark electric blue</t>
  </si>
  <si>
    <t>#536878</t>
  </si>
  <si>
    <t>Dark goldenrod</t>
  </si>
  <si>
    <t>#B8860B</t>
  </si>
  <si>
    <t>Dark gray (X11)</t>
  </si>
  <si>
    <t>#A9A9A9</t>
  </si>
  <si>
    <t>Dark green</t>
  </si>
  <si>
    <t>#013220</t>
  </si>
  <si>
    <t>Dark green (X11)</t>
  </si>
  <si>
    <t>#006400</t>
  </si>
  <si>
    <t>Dark gunmetal</t>
  </si>
  <si>
    <t>Dark imperial blue</t>
  </si>
  <si>
    <t>#00416A</t>
  </si>
  <si>
    <t>#6E6EF9</t>
  </si>
  <si>
    <t>Dark jungle green</t>
  </si>
  <si>
    <t>#1A2421</t>
  </si>
  <si>
    <t>Dark khaki</t>
  </si>
  <si>
    <t>#BDB76B</t>
  </si>
  <si>
    <t>Dark lava</t>
  </si>
  <si>
    <t>#483C32</t>
  </si>
  <si>
    <t>Dark lavender</t>
  </si>
  <si>
    <t>#734F96</t>
  </si>
  <si>
    <t>Dark liver</t>
  </si>
  <si>
    <t>#534B4F</t>
  </si>
  <si>
    <t>Dark liver (horses)</t>
  </si>
  <si>
    <t>#543D37</t>
  </si>
  <si>
    <t>Dark magenta</t>
  </si>
  <si>
    <t>#8B008B</t>
  </si>
  <si>
    <t>Dark medium gray</t>
  </si>
  <si>
    <t>Dark midnight blue</t>
  </si>
  <si>
    <t>#003366</t>
  </si>
  <si>
    <t>Dark moss green</t>
  </si>
  <si>
    <t>#4A5D23</t>
  </si>
  <si>
    <t>Dark olive green</t>
  </si>
  <si>
    <t>#556B2F</t>
  </si>
  <si>
    <t>Dark orange</t>
  </si>
  <si>
    <t>#FF8C00</t>
  </si>
  <si>
    <t>Dark orchid</t>
  </si>
  <si>
    <t>#9932CC</t>
  </si>
  <si>
    <t>Dark pastel blue</t>
  </si>
  <si>
    <t>#779ECB</t>
  </si>
  <si>
    <t>Dark pastel green</t>
  </si>
  <si>
    <t>#03C03C</t>
  </si>
  <si>
    <t>Dark pastel purple</t>
  </si>
  <si>
    <t>#966FD6</t>
  </si>
  <si>
    <t>Dark pastel red</t>
  </si>
  <si>
    <t>#C23B22</t>
  </si>
  <si>
    <t>Dark pink</t>
  </si>
  <si>
    <t>#E75480</t>
  </si>
  <si>
    <t>Dark powder blue</t>
  </si>
  <si>
    <t>#003399</t>
  </si>
  <si>
    <t>Dark puce</t>
  </si>
  <si>
    <t>#4F3A3C</t>
  </si>
  <si>
    <t>Dark purple</t>
  </si>
  <si>
    <t>#301934</t>
  </si>
  <si>
    <t>Dark raspberry</t>
  </si>
  <si>
    <t>#872657</t>
  </si>
  <si>
    <t>Dark red</t>
  </si>
  <si>
    <t>#8B0000</t>
  </si>
  <si>
    <t>Dark salmon</t>
  </si>
  <si>
    <t>#E9967A</t>
  </si>
  <si>
    <t>Dark scarlet</t>
  </si>
  <si>
    <t>#560319</t>
  </si>
  <si>
    <t>Dark sea green</t>
  </si>
  <si>
    <t>#8FBC8F</t>
  </si>
  <si>
    <t>Dark sienna</t>
  </si>
  <si>
    <t>#3C1414</t>
  </si>
  <si>
    <t>Dark sky blue</t>
  </si>
  <si>
    <t>#8CBED6</t>
  </si>
  <si>
    <t>Dark slate blue</t>
  </si>
  <si>
    <t>#483D8B</t>
  </si>
  <si>
    <t>Dark slate gray</t>
  </si>
  <si>
    <t>#2F4F4F</t>
  </si>
  <si>
    <t>Dark spring green</t>
  </si>
  <si>
    <t>#177245</t>
  </si>
  <si>
    <t>Dark tan</t>
  </si>
  <si>
    <t>#918151</t>
  </si>
  <si>
    <t>Dark tangerine</t>
  </si>
  <si>
    <t>#FFA812</t>
  </si>
  <si>
    <t>Dark taupe</t>
  </si>
  <si>
    <t>Dark terra cotta</t>
  </si>
  <si>
    <t>#CC4E5C</t>
  </si>
  <si>
    <t>Dark turquoise</t>
  </si>
  <si>
    <t>#00CED1</t>
  </si>
  <si>
    <t>Dark vanilla</t>
  </si>
  <si>
    <t>#D1BEA8</t>
  </si>
  <si>
    <t>Dark violet</t>
  </si>
  <si>
    <t>#9400D3</t>
  </si>
  <si>
    <t>Dark yellow</t>
  </si>
  <si>
    <t>#9B870C</t>
  </si>
  <si>
    <t>Dartmouth green</t>
  </si>
  <si>
    <t>#00703C</t>
  </si>
  <si>
    <t>Davy's grey</t>
  </si>
  <si>
    <t>#555555</t>
  </si>
  <si>
    <t>Debian red</t>
  </si>
  <si>
    <t>#D70A53</t>
  </si>
  <si>
    <t>Deep aquamarine</t>
  </si>
  <si>
    <t>#40826D</t>
  </si>
  <si>
    <t>Deep carmine</t>
  </si>
  <si>
    <t>#A9203E</t>
  </si>
  <si>
    <t>Deep carmine pink</t>
  </si>
  <si>
    <t>#EF3038</t>
  </si>
  <si>
    <t>Deep carrot orange</t>
  </si>
  <si>
    <t>#E9692C</t>
  </si>
  <si>
    <t>Deep cerise</t>
  </si>
  <si>
    <t>#DA3287</t>
  </si>
  <si>
    <t>Deep champagne</t>
  </si>
  <si>
    <t>#FAD6A5</t>
  </si>
  <si>
    <t>Deep chestnut</t>
  </si>
  <si>
    <t>#B94E48</t>
  </si>
  <si>
    <t>Deep coffee</t>
  </si>
  <si>
    <t>#704241</t>
  </si>
  <si>
    <t>Deep fuchsia</t>
  </si>
  <si>
    <t>#C154C1</t>
  </si>
  <si>
    <t>Deep Green</t>
  </si>
  <si>
    <t>#056608</t>
  </si>
  <si>
    <t>Deep green-cyan turquoise</t>
  </si>
  <si>
    <t>#0E7C61</t>
  </si>
  <si>
    <t>Deep jungle green</t>
  </si>
  <si>
    <t>#004B49</t>
  </si>
  <si>
    <t>Deep koamaru</t>
  </si>
  <si>
    <t>#333366</t>
  </si>
  <si>
    <t>Deep lemon</t>
  </si>
  <si>
    <t>#F5C71A</t>
  </si>
  <si>
    <t>Deep lilac</t>
  </si>
  <si>
    <t>#9955BB</t>
  </si>
  <si>
    <t>Deep magenta</t>
  </si>
  <si>
    <t>#CC00CC</t>
  </si>
  <si>
    <t>Deep maroon</t>
  </si>
  <si>
    <t>#820000</t>
  </si>
  <si>
    <t>Deep mauve</t>
  </si>
  <si>
    <t>#D473D4</t>
  </si>
  <si>
    <t>Deep moss green</t>
  </si>
  <si>
    <t>#355E3B</t>
  </si>
  <si>
    <t>Deep peach</t>
  </si>
  <si>
    <t>#FFCBA4</t>
  </si>
  <si>
    <t>Deep pink</t>
  </si>
  <si>
    <t>#FF1493</t>
  </si>
  <si>
    <t>Deep puce</t>
  </si>
  <si>
    <t>#A95C68</t>
  </si>
  <si>
    <t>Deep Red</t>
  </si>
  <si>
    <t>#850101</t>
  </si>
  <si>
    <t>Deep ruby</t>
  </si>
  <si>
    <t>#843F5B</t>
  </si>
  <si>
    <t>Deep saffron</t>
  </si>
  <si>
    <t>#FF9933</t>
  </si>
  <si>
    <t>Deep sky blue</t>
  </si>
  <si>
    <t>Deep Space Sparkle</t>
  </si>
  <si>
    <t>#4A646C</t>
  </si>
  <si>
    <t>Deep spring bud</t>
  </si>
  <si>
    <t>Deep Taupe</t>
  </si>
  <si>
    <t>#7E5E60</t>
  </si>
  <si>
    <t>Deep Tuscan red</t>
  </si>
  <si>
    <t>#66424D</t>
  </si>
  <si>
    <t>Deep violet</t>
  </si>
  <si>
    <t>#330066</t>
  </si>
  <si>
    <t>Deer</t>
  </si>
  <si>
    <t>#BA8759</t>
  </si>
  <si>
    <t>Denim</t>
  </si>
  <si>
    <t>#1560BD</t>
  </si>
  <si>
    <t>Denim Blue</t>
  </si>
  <si>
    <t>#2243B6</t>
  </si>
  <si>
    <t>Desaturated cyan</t>
  </si>
  <si>
    <t>#669999</t>
  </si>
  <si>
    <t>Desert</t>
  </si>
  <si>
    <t>Desert sand</t>
  </si>
  <si>
    <t>#EDC9AF</t>
  </si>
  <si>
    <t>Desire</t>
  </si>
  <si>
    <t>#EA3C53</t>
  </si>
  <si>
    <t>Diamond</t>
  </si>
  <si>
    <t>#B9F2FF</t>
  </si>
  <si>
    <t>Dim gray</t>
  </si>
  <si>
    <t>#696969</t>
  </si>
  <si>
    <t>Dingy Dungeon</t>
  </si>
  <si>
    <t>#C53151</t>
  </si>
  <si>
    <t>Dirt</t>
  </si>
  <si>
    <t>#9B7653</t>
  </si>
  <si>
    <t>Dodger blue</t>
  </si>
  <si>
    <t>#1E90FF</t>
  </si>
  <si>
    <t>Dogwood rose</t>
  </si>
  <si>
    <t>#D71868</t>
  </si>
  <si>
    <t>Dollar bill</t>
  </si>
  <si>
    <t>#85BB65</t>
  </si>
  <si>
    <t>Donkey brown</t>
  </si>
  <si>
    <t>#664C28</t>
  </si>
  <si>
    <t>Drab</t>
  </si>
  <si>
    <t>Duke blue</t>
  </si>
  <si>
    <t>#00009C</t>
  </si>
  <si>
    <t>Dust storm</t>
  </si>
  <si>
    <t>#E5CCC9</t>
  </si>
  <si>
    <t>Dutch white</t>
  </si>
  <si>
    <t>#EFDFBB</t>
  </si>
  <si>
    <t>Earth yellow</t>
  </si>
  <si>
    <t>#E1A95F</t>
  </si>
  <si>
    <t>Ebony</t>
  </si>
  <si>
    <t>#555D50</t>
  </si>
  <si>
    <t>Ecru</t>
  </si>
  <si>
    <t>#C2B280</t>
  </si>
  <si>
    <t>Eerie black</t>
  </si>
  <si>
    <t>#1B1B1B</t>
  </si>
  <si>
    <t>Eggplant</t>
  </si>
  <si>
    <t>#614051</t>
  </si>
  <si>
    <t>Eggshell</t>
  </si>
  <si>
    <t>#F0EAD6</t>
  </si>
  <si>
    <t>Egyptian blue</t>
  </si>
  <si>
    <t>#1034A6</t>
  </si>
  <si>
    <t>Electric blue</t>
  </si>
  <si>
    <t>#7DF9FF</t>
  </si>
  <si>
    <t>Electric crimson</t>
  </si>
  <si>
    <t>#FF003F</t>
  </si>
  <si>
    <t>Electric cyan</t>
  </si>
  <si>
    <t>Electric green</t>
  </si>
  <si>
    <t>#00FF00</t>
  </si>
  <si>
    <t>Electric indigo</t>
  </si>
  <si>
    <t>#6F00FF</t>
  </si>
  <si>
    <t>Electric lavender</t>
  </si>
  <si>
    <t>Electric lime</t>
  </si>
  <si>
    <t>#CCFF00</t>
  </si>
  <si>
    <t>Electric purple</t>
  </si>
  <si>
    <t>#BF00FF</t>
  </si>
  <si>
    <t>Electric ultramarine</t>
  </si>
  <si>
    <t>#3F00FF</t>
  </si>
  <si>
    <t>Electric violet</t>
  </si>
  <si>
    <t>#8F00FF</t>
  </si>
  <si>
    <t>Electric yellow</t>
  </si>
  <si>
    <t>#FFFF33</t>
  </si>
  <si>
    <t>Emerald</t>
  </si>
  <si>
    <t>#50C878</t>
  </si>
  <si>
    <t>Eminence</t>
  </si>
  <si>
    <t>#6C3082</t>
  </si>
  <si>
    <t>English green</t>
  </si>
  <si>
    <t>English lavender</t>
  </si>
  <si>
    <t>#B48395</t>
  </si>
  <si>
    <t>English red</t>
  </si>
  <si>
    <t>#AB4B52</t>
  </si>
  <si>
    <t>English vermillion</t>
  </si>
  <si>
    <t>#CC474B</t>
  </si>
  <si>
    <t>English violet</t>
  </si>
  <si>
    <t>#563C5C</t>
  </si>
  <si>
    <t>Eton blue</t>
  </si>
  <si>
    <t>#96C8A2</t>
  </si>
  <si>
    <t>Eucalyptus</t>
  </si>
  <si>
    <t>#44D7A8</t>
  </si>
  <si>
    <t>Fallow</t>
  </si>
  <si>
    <t>Falu red</t>
  </si>
  <si>
    <t>#801818</t>
  </si>
  <si>
    <t>Fandango</t>
  </si>
  <si>
    <t>#B53389</t>
  </si>
  <si>
    <t>Fandango pink</t>
  </si>
  <si>
    <t>#DE5285</t>
  </si>
  <si>
    <t>Fashion fuchsia</t>
  </si>
  <si>
    <t>#F400A1</t>
  </si>
  <si>
    <t>Fawn</t>
  </si>
  <si>
    <t>#E5AA70</t>
  </si>
  <si>
    <t>Feldgrau</t>
  </si>
  <si>
    <t>#4D5D53</t>
  </si>
  <si>
    <t>Feldspar</t>
  </si>
  <si>
    <t>#FDD5B1</t>
  </si>
  <si>
    <t>Fern green</t>
  </si>
  <si>
    <t>#4F7942</t>
  </si>
  <si>
    <t>Ferrari Red</t>
  </si>
  <si>
    <t>#FF2800</t>
  </si>
  <si>
    <t>Field drab</t>
  </si>
  <si>
    <t>#6C541E</t>
  </si>
  <si>
    <t>Fiery Rose</t>
  </si>
  <si>
    <t>#FF5470</t>
  </si>
  <si>
    <t>Firebrick</t>
  </si>
  <si>
    <t>#B22222</t>
  </si>
  <si>
    <t>Fire engine red</t>
  </si>
  <si>
    <t>#CE2029</t>
  </si>
  <si>
    <t>Flame</t>
  </si>
  <si>
    <t>#E25822</t>
  </si>
  <si>
    <t>Flamingo pink</t>
  </si>
  <si>
    <t>#FC8EAC</t>
  </si>
  <si>
    <t>Flattery</t>
  </si>
  <si>
    <t>Flavescent</t>
  </si>
  <si>
    <t>#F7E98E</t>
  </si>
  <si>
    <t>Flax</t>
  </si>
  <si>
    <t>#EEDC82</t>
  </si>
  <si>
    <t>Flirt</t>
  </si>
  <si>
    <t>#A2006D</t>
  </si>
  <si>
    <t>Floral white</t>
  </si>
  <si>
    <t>#FFFAF0</t>
  </si>
  <si>
    <t>Fluorescent orange</t>
  </si>
  <si>
    <t>Fluorescent pink</t>
  </si>
  <si>
    <t>Fluorescent yellow</t>
  </si>
  <si>
    <t>Folly</t>
  </si>
  <si>
    <t>#FF004F</t>
  </si>
  <si>
    <t>Forest green (traditional)</t>
  </si>
  <si>
    <t>#014421</t>
  </si>
  <si>
    <t>Forest green (web)</t>
  </si>
  <si>
    <t>#228B22</t>
  </si>
  <si>
    <t>French beige</t>
  </si>
  <si>
    <t>French bistre</t>
  </si>
  <si>
    <t>#856D4D</t>
  </si>
  <si>
    <t>French blue</t>
  </si>
  <si>
    <t>#0072BB</t>
  </si>
  <si>
    <t>French fuchsia</t>
  </si>
  <si>
    <t>#FD3F92</t>
  </si>
  <si>
    <t>French lilac</t>
  </si>
  <si>
    <t>#86608E</t>
  </si>
  <si>
    <t>French lime</t>
  </si>
  <si>
    <t>#9EFD38</t>
  </si>
  <si>
    <t>French mauve</t>
  </si>
  <si>
    <t>French pink</t>
  </si>
  <si>
    <t>#FD6C9E</t>
  </si>
  <si>
    <t>French plum</t>
  </si>
  <si>
    <t>#811453</t>
  </si>
  <si>
    <t>French puce</t>
  </si>
  <si>
    <t>#4E1609</t>
  </si>
  <si>
    <t>French raspberry</t>
  </si>
  <si>
    <t>#C72C48</t>
  </si>
  <si>
    <t>French rose</t>
  </si>
  <si>
    <t>#F64A8A</t>
  </si>
  <si>
    <t>French sky blue</t>
  </si>
  <si>
    <t>#77B5FE</t>
  </si>
  <si>
    <t>French violet</t>
  </si>
  <si>
    <t>#8806CE</t>
  </si>
  <si>
    <t>French wine</t>
  </si>
  <si>
    <t>#AC1E44</t>
  </si>
  <si>
    <t>Fresh Air</t>
  </si>
  <si>
    <t>#A6E7FF</t>
  </si>
  <si>
    <t>Frostbite</t>
  </si>
  <si>
    <t>#E936A7</t>
  </si>
  <si>
    <t>Fuchsia</t>
  </si>
  <si>
    <t>#FF00FF</t>
  </si>
  <si>
    <t>Fuchsia (Crayola)</t>
  </si>
  <si>
    <t>Fuchsia pink</t>
  </si>
  <si>
    <t>#FF77FF</t>
  </si>
  <si>
    <t>Fuchsia purple</t>
  </si>
  <si>
    <t>#CC397B</t>
  </si>
  <si>
    <t>Fuchsia rose</t>
  </si>
  <si>
    <t>#C74375</t>
  </si>
  <si>
    <t>Fulvous</t>
  </si>
  <si>
    <t>#E48400</t>
  </si>
  <si>
    <t>Fuzzy Wuzzy</t>
  </si>
  <si>
    <t>#CC6666</t>
  </si>
  <si>
    <t>Gainsboro</t>
  </si>
  <si>
    <t>#DCDCDC</t>
  </si>
  <si>
    <t>Gamboge</t>
  </si>
  <si>
    <t>#E49B0F</t>
  </si>
  <si>
    <t>Gamboge orange (brown)</t>
  </si>
  <si>
    <t>#996600</t>
  </si>
  <si>
    <t>Gargoyle Gas</t>
  </si>
  <si>
    <t>#FFDF46</t>
  </si>
  <si>
    <t>Generic viridian</t>
  </si>
  <si>
    <t>#007F66</t>
  </si>
  <si>
    <t>Ghost white</t>
  </si>
  <si>
    <t>#F8F8FF</t>
  </si>
  <si>
    <t>Giant's Club</t>
  </si>
  <si>
    <t>#B05C52</t>
  </si>
  <si>
    <t>Giants orange</t>
  </si>
  <si>
    <t>#FE5A1D</t>
  </si>
  <si>
    <t>Ginger</t>
  </si>
  <si>
    <t>#B06500</t>
  </si>
  <si>
    <t>Glaucous</t>
  </si>
  <si>
    <t>#6082B6</t>
  </si>
  <si>
    <t>Glitter</t>
  </si>
  <si>
    <t>#E6E8FA</t>
  </si>
  <si>
    <t>Glossy Grape</t>
  </si>
  <si>
    <t>#AB92B3</t>
  </si>
  <si>
    <t>GO green</t>
  </si>
  <si>
    <t>#00AB66</t>
  </si>
  <si>
    <t>Gold (metallic)</t>
  </si>
  <si>
    <t>#D4AF37</t>
  </si>
  <si>
    <t>Gold (web) (Golden)</t>
  </si>
  <si>
    <t>#FFD700</t>
  </si>
  <si>
    <t>Gold Fusion</t>
  </si>
  <si>
    <t>#85754E</t>
  </si>
  <si>
    <t>Golden brown</t>
  </si>
  <si>
    <t>#996515</t>
  </si>
  <si>
    <t>Golden poppy</t>
  </si>
  <si>
    <t>#FCC200</t>
  </si>
  <si>
    <t>Golden yellow</t>
  </si>
  <si>
    <t>#FFDF00</t>
  </si>
  <si>
    <t>Goldenrod</t>
  </si>
  <si>
    <t>#DAA520</t>
  </si>
  <si>
    <t>Granite Gray</t>
  </si>
  <si>
    <t>#676767</t>
  </si>
  <si>
    <t>Granny Smith Apple</t>
  </si>
  <si>
    <t>#A8E4A0</t>
  </si>
  <si>
    <t>Grape</t>
  </si>
  <si>
    <t>#6F2DA8</t>
  </si>
  <si>
    <t>Gray</t>
  </si>
  <si>
    <t>#808080</t>
  </si>
  <si>
    <t>Gray (HTML/CSS gray)</t>
  </si>
  <si>
    <t>Gray (X11 gray)</t>
  </si>
  <si>
    <t>#BEBEBE</t>
  </si>
  <si>
    <t>Gray-asparagus</t>
  </si>
  <si>
    <t>#465945</t>
  </si>
  <si>
    <t>Gray-blue</t>
  </si>
  <si>
    <t>Green (Color Wheel) (X11 green)</t>
  </si>
  <si>
    <t>Green (Crayola)</t>
  </si>
  <si>
    <t>#1CAC78</t>
  </si>
  <si>
    <t>Green (HTML/CSS color)</t>
  </si>
  <si>
    <t>Green (Munsell)</t>
  </si>
  <si>
    <t>#00A877</t>
  </si>
  <si>
    <t>Green (NCS)</t>
  </si>
  <si>
    <t>#009F6B</t>
  </si>
  <si>
    <t>Green (Pantone)</t>
  </si>
  <si>
    <t>#00AD43</t>
  </si>
  <si>
    <t>Green (pigment)</t>
  </si>
  <si>
    <t>#00A550</t>
  </si>
  <si>
    <t>Green (RYB)</t>
  </si>
  <si>
    <t>#66B032</t>
  </si>
  <si>
    <t>Green-blue</t>
  </si>
  <si>
    <t>#1164B4</t>
  </si>
  <si>
    <t>Green-cyan</t>
  </si>
  <si>
    <t>#009966</t>
  </si>
  <si>
    <t>Green Lizard</t>
  </si>
  <si>
    <t>#A7F432</t>
  </si>
  <si>
    <t>Green Sheen</t>
  </si>
  <si>
    <t>#6EAEA1</t>
  </si>
  <si>
    <t>Green-yellow</t>
  </si>
  <si>
    <t>#ADFF2F</t>
  </si>
  <si>
    <t>Grizzly</t>
  </si>
  <si>
    <t>#885818</t>
  </si>
  <si>
    <t>Grullo</t>
  </si>
  <si>
    <t>#A99A86</t>
  </si>
  <si>
    <t>Guppie green</t>
  </si>
  <si>
    <t>#00FF7F</t>
  </si>
  <si>
    <t>Gunmetal</t>
  </si>
  <si>
    <t>#2a3439</t>
  </si>
  <si>
    <t>HalayÃ  Ãºbe</t>
  </si>
  <si>
    <t>#663854</t>
  </si>
  <si>
    <t>Han blue</t>
  </si>
  <si>
    <t>#446CCF</t>
  </si>
  <si>
    <t>Han purple</t>
  </si>
  <si>
    <t>#5218FA</t>
  </si>
  <si>
    <t>Hansa yellow</t>
  </si>
  <si>
    <t>Harlequin</t>
  </si>
  <si>
    <t>#3FFF00</t>
  </si>
  <si>
    <t>Harlequin green</t>
  </si>
  <si>
    <t>#46CB18</t>
  </si>
  <si>
    <t>Harvard crimson</t>
  </si>
  <si>
    <t>#C90016</t>
  </si>
  <si>
    <t>Harvest gold</t>
  </si>
  <si>
    <t>#DA9100</t>
  </si>
  <si>
    <t>Heart Gold</t>
  </si>
  <si>
    <t>#808000</t>
  </si>
  <si>
    <t>Heat Wave</t>
  </si>
  <si>
    <t>#FF7A00</t>
  </si>
  <si>
    <t>Heliotrope</t>
  </si>
  <si>
    <t>#DF73FF</t>
  </si>
  <si>
    <t>Heliotrope gray</t>
  </si>
  <si>
    <t>#AA98A9</t>
  </si>
  <si>
    <t>Heliotrope magenta</t>
  </si>
  <si>
    <t>#AA00BB</t>
  </si>
  <si>
    <t>Hollywood cerise</t>
  </si>
  <si>
    <t>Honeydew</t>
  </si>
  <si>
    <t>#F0FFF0</t>
  </si>
  <si>
    <t>Honolulu blue</t>
  </si>
  <si>
    <t>#006DB0</t>
  </si>
  <si>
    <t>Hooker's green</t>
  </si>
  <si>
    <t>#49796B</t>
  </si>
  <si>
    <t>Hot magenta</t>
  </si>
  <si>
    <t>#FF1DCE</t>
  </si>
  <si>
    <t>Hot pink</t>
  </si>
  <si>
    <t>#FF69B4</t>
  </si>
  <si>
    <t>Hunter green</t>
  </si>
  <si>
    <t>Iceberg</t>
  </si>
  <si>
    <t>#71A6D2</t>
  </si>
  <si>
    <t>Icterine</t>
  </si>
  <si>
    <t>#FCF75E</t>
  </si>
  <si>
    <t>Illuminating Emerald</t>
  </si>
  <si>
    <t>#319177</t>
  </si>
  <si>
    <t>Imperial</t>
  </si>
  <si>
    <t>#602F6B</t>
  </si>
  <si>
    <t>Imperial blue</t>
  </si>
  <si>
    <t>#002395</t>
  </si>
  <si>
    <t>Imperial purple</t>
  </si>
  <si>
    <t>#66023C</t>
  </si>
  <si>
    <t>Imperial red</t>
  </si>
  <si>
    <t>#ED2939</t>
  </si>
  <si>
    <t>Inchworm</t>
  </si>
  <si>
    <t>#B2EC5D</t>
  </si>
  <si>
    <t>Independence</t>
  </si>
  <si>
    <t>#4C516D</t>
  </si>
  <si>
    <t>India green</t>
  </si>
  <si>
    <t>#138808</t>
  </si>
  <si>
    <t>Indian red</t>
  </si>
  <si>
    <t>#CD5C5C</t>
  </si>
  <si>
    <t>Indian yellow</t>
  </si>
  <si>
    <t>#E3A857</t>
  </si>
  <si>
    <t>Indigo</t>
  </si>
  <si>
    <t>#4B0082</t>
  </si>
  <si>
    <t>Indigo dye</t>
  </si>
  <si>
    <t>#091F92</t>
  </si>
  <si>
    <t>Indigo (web)</t>
  </si>
  <si>
    <t>International Klein Blue</t>
  </si>
  <si>
    <t>#002FA7</t>
  </si>
  <si>
    <t>International orange (aerospace)</t>
  </si>
  <si>
    <t>#FF4F00</t>
  </si>
  <si>
    <t>International orange (engineering)</t>
  </si>
  <si>
    <t>#BA160C</t>
  </si>
  <si>
    <t>International orange (Golden Gate Bridge)</t>
  </si>
  <si>
    <t>#C0362C</t>
  </si>
  <si>
    <t>Iris</t>
  </si>
  <si>
    <t>#5A4FCF</t>
  </si>
  <si>
    <t>Irresistible</t>
  </si>
  <si>
    <t>#B3446C</t>
  </si>
  <si>
    <t>Isabelline</t>
  </si>
  <si>
    <t>#F4F0EC</t>
  </si>
  <si>
    <t>Islamic green</t>
  </si>
  <si>
    <t>#009000</t>
  </si>
  <si>
    <t>Italian sky blue</t>
  </si>
  <si>
    <t>Ivory</t>
  </si>
  <si>
    <t>#FFFFF0</t>
  </si>
  <si>
    <t>Jade</t>
  </si>
  <si>
    <t>#00A86B</t>
  </si>
  <si>
    <t>Japanese carmine</t>
  </si>
  <si>
    <t>#9D2933</t>
  </si>
  <si>
    <t>Japanese indigo</t>
  </si>
  <si>
    <t>#264348</t>
  </si>
  <si>
    <t>Japanese violet</t>
  </si>
  <si>
    <t>#5B3256</t>
  </si>
  <si>
    <t>Jasmine</t>
  </si>
  <si>
    <t>#F8DE7E</t>
  </si>
  <si>
    <t>Jasper</t>
  </si>
  <si>
    <t>#D73B3E</t>
  </si>
  <si>
    <t>Jazzberry jam</t>
  </si>
  <si>
    <t>#A50B5E</t>
  </si>
  <si>
    <t>Jelly Bean</t>
  </si>
  <si>
    <t>#DA614E</t>
  </si>
  <si>
    <t>Jet</t>
  </si>
  <si>
    <t>#343434</t>
  </si>
  <si>
    <t>Jonquil</t>
  </si>
  <si>
    <t>#F4CA16</t>
  </si>
  <si>
    <t>Jordy blue</t>
  </si>
  <si>
    <t>#8AB9F1</t>
  </si>
  <si>
    <t>June bud</t>
  </si>
  <si>
    <t>#BDDA57</t>
  </si>
  <si>
    <t>Jungle green</t>
  </si>
  <si>
    <t>#29AB87</t>
  </si>
  <si>
    <t>Kelly green</t>
  </si>
  <si>
    <t>#4CBB17</t>
  </si>
  <si>
    <t>Kenyan copper</t>
  </si>
  <si>
    <t>#7C1C05</t>
  </si>
  <si>
    <t>Keppel</t>
  </si>
  <si>
    <t>#3AB09E</t>
  </si>
  <si>
    <t>Key Lime</t>
  </si>
  <si>
    <t>#E8F48C</t>
  </si>
  <si>
    <t>Khaki (HTML/CSS) (Khaki)</t>
  </si>
  <si>
    <t>#C3B091</t>
  </si>
  <si>
    <t>Khaki (X11) (Light khaki)</t>
  </si>
  <si>
    <t>#F0E68C</t>
  </si>
  <si>
    <t>Kobe</t>
  </si>
  <si>
    <t>#882D17</t>
  </si>
  <si>
    <t>Kobi</t>
  </si>
  <si>
    <t>#E79FC4</t>
  </si>
  <si>
    <t>Kobicha</t>
  </si>
  <si>
    <t>Kombu green</t>
  </si>
  <si>
    <t>#354230</t>
  </si>
  <si>
    <t>KU Crimson</t>
  </si>
  <si>
    <t>#E8000D</t>
  </si>
  <si>
    <t>La Salle Green</t>
  </si>
  <si>
    <t>#087830</t>
  </si>
  <si>
    <t>Languid lavender</t>
  </si>
  <si>
    <t>#D6CADD</t>
  </si>
  <si>
    <t>Lapis lazuli</t>
  </si>
  <si>
    <t>#26619C</t>
  </si>
  <si>
    <t>Laser Lemon</t>
  </si>
  <si>
    <t>#FFFF66</t>
  </si>
  <si>
    <t>Laurel green</t>
  </si>
  <si>
    <t>#A9BA9D</t>
  </si>
  <si>
    <t>Lava</t>
  </si>
  <si>
    <t>#CF1020</t>
  </si>
  <si>
    <t>Lavender (floral)</t>
  </si>
  <si>
    <t>#B57EDC</t>
  </si>
  <si>
    <t>Lavender (web)</t>
  </si>
  <si>
    <t>#E6E6FA</t>
  </si>
  <si>
    <t>Lavender blue</t>
  </si>
  <si>
    <t>#CCCCFF</t>
  </si>
  <si>
    <t>Lavender blush</t>
  </si>
  <si>
    <t>#FFF0F5</t>
  </si>
  <si>
    <t>Lavender gray</t>
  </si>
  <si>
    <t>#C4C3D0</t>
  </si>
  <si>
    <t>Lavender indigo</t>
  </si>
  <si>
    <t>#9457EB</t>
  </si>
  <si>
    <t>Lavender magenta</t>
  </si>
  <si>
    <t>#EE82EE</t>
  </si>
  <si>
    <t>Lavender mist</t>
  </si>
  <si>
    <t>Lavender pink</t>
  </si>
  <si>
    <t>#FBAED2</t>
  </si>
  <si>
    <t>Lavender purple</t>
  </si>
  <si>
    <t>#967BB6</t>
  </si>
  <si>
    <t>Lavender rose</t>
  </si>
  <si>
    <t>#FBA0E3</t>
  </si>
  <si>
    <t>Lawn green</t>
  </si>
  <si>
    <t>#7CFC00</t>
  </si>
  <si>
    <t>Lemon</t>
  </si>
  <si>
    <t>#FFF700</t>
  </si>
  <si>
    <t>Lemon chiffon</t>
  </si>
  <si>
    <t>#FFFACD</t>
  </si>
  <si>
    <t>Lemon curry</t>
  </si>
  <si>
    <t>#CCA01D</t>
  </si>
  <si>
    <t>Lemon glacier</t>
  </si>
  <si>
    <t>#FDFF00</t>
  </si>
  <si>
    <t>Lemon lime</t>
  </si>
  <si>
    <t>#E3FF00</t>
  </si>
  <si>
    <t>Lemon meringue</t>
  </si>
  <si>
    <t>#F6EABE</t>
  </si>
  <si>
    <t>Lemon yellow</t>
  </si>
  <si>
    <t>#FFF44F</t>
  </si>
  <si>
    <t>Lenurple</t>
  </si>
  <si>
    <t>#BA93D8</t>
  </si>
  <si>
    <t>Licorice</t>
  </si>
  <si>
    <t>#1A1110</t>
  </si>
  <si>
    <t>Liberty</t>
  </si>
  <si>
    <t>#545AA7</t>
  </si>
  <si>
    <t>Light apricot</t>
  </si>
  <si>
    <t>Light blue</t>
  </si>
  <si>
    <t>#ADD8E6</t>
  </si>
  <si>
    <t>Light brilliant red</t>
  </si>
  <si>
    <t>#FE2E2E</t>
  </si>
  <si>
    <t>Light brown</t>
  </si>
  <si>
    <t>#B5651D</t>
  </si>
  <si>
    <t>Light carmine pink</t>
  </si>
  <si>
    <t>#E66771</t>
  </si>
  <si>
    <t>Light cobalt blue</t>
  </si>
  <si>
    <t>#88ACE0</t>
  </si>
  <si>
    <t>Light coral</t>
  </si>
  <si>
    <t>#F08080</t>
  </si>
  <si>
    <t>Light cornflower blue</t>
  </si>
  <si>
    <t>#93CCEA</t>
  </si>
  <si>
    <t>Light crimson</t>
  </si>
  <si>
    <t>#F56991</t>
  </si>
  <si>
    <t>Light cyan</t>
  </si>
  <si>
    <t>#E0FFFF</t>
  </si>
  <si>
    <t>Light deep pink</t>
  </si>
  <si>
    <t>#FF5CCD</t>
  </si>
  <si>
    <t>Light French beige</t>
  </si>
  <si>
    <t>#C8AD7F</t>
  </si>
  <si>
    <t>Light fuchsia pink</t>
  </si>
  <si>
    <t>#F984EF</t>
  </si>
  <si>
    <t>Light goldenrod yellow</t>
  </si>
  <si>
    <t>#FAFAD2</t>
  </si>
  <si>
    <t>Light gray</t>
  </si>
  <si>
    <t>#D3D3D3</t>
  </si>
  <si>
    <t>Light grayish magenta</t>
  </si>
  <si>
    <t>#CC99CC</t>
  </si>
  <si>
    <t>Light green</t>
  </si>
  <si>
    <t>#90EE90</t>
  </si>
  <si>
    <t>Light hot pink</t>
  </si>
  <si>
    <t>#FFB3DE</t>
  </si>
  <si>
    <t>Light khaki</t>
  </si>
  <si>
    <t>Light medium orchid</t>
  </si>
  <si>
    <t>#D39BCB</t>
  </si>
  <si>
    <t>Light moss green</t>
  </si>
  <si>
    <t>#ADDFAD</t>
  </si>
  <si>
    <t>Light orchid</t>
  </si>
  <si>
    <t>#E6A8D7</t>
  </si>
  <si>
    <t>Light pastel purple</t>
  </si>
  <si>
    <t>#B19CD9</t>
  </si>
  <si>
    <t>Light pink</t>
  </si>
  <si>
    <t>#FFB6C1</t>
  </si>
  <si>
    <t>Light red ochre</t>
  </si>
  <si>
    <t>Light salmon</t>
  </si>
  <si>
    <t>#FFA07A</t>
  </si>
  <si>
    <t>Light salmon pink</t>
  </si>
  <si>
    <t>#FF9999</t>
  </si>
  <si>
    <t>Light sea green</t>
  </si>
  <si>
    <t>#20B2AA</t>
  </si>
  <si>
    <t>Light sky blue</t>
  </si>
  <si>
    <t>#87CEFA</t>
  </si>
  <si>
    <t>Light slate gray</t>
  </si>
  <si>
    <t>#778899</t>
  </si>
  <si>
    <t>Light steel blue</t>
  </si>
  <si>
    <t>#B0C4DE</t>
  </si>
  <si>
    <t>Light taupe</t>
  </si>
  <si>
    <t>#B38B6D</t>
  </si>
  <si>
    <t>Light Thulian pink</t>
  </si>
  <si>
    <t>Light yellow</t>
  </si>
  <si>
    <t>#FFFFE0</t>
  </si>
  <si>
    <t>Lilac</t>
  </si>
  <si>
    <t>#C8A2C8</t>
  </si>
  <si>
    <t>Lilac Luster</t>
  </si>
  <si>
    <t>#AE98AA</t>
  </si>
  <si>
    <t>Lime (color wheel)</t>
  </si>
  <si>
    <t>Lime (web) (X11 green)</t>
  </si>
  <si>
    <t>Lime green</t>
  </si>
  <si>
    <t>#32CD32</t>
  </si>
  <si>
    <t>Limerick</t>
  </si>
  <si>
    <t>#9DC209</t>
  </si>
  <si>
    <t>Lincoln green</t>
  </si>
  <si>
    <t>#195905</t>
  </si>
  <si>
    <t>Linen</t>
  </si>
  <si>
    <t>#FAF0E6</t>
  </si>
  <si>
    <t>Lion</t>
  </si>
  <si>
    <t>Liseran Purple</t>
  </si>
  <si>
    <t>Little boy blue</t>
  </si>
  <si>
    <t>#6CA0DC</t>
  </si>
  <si>
    <t>Liver</t>
  </si>
  <si>
    <t>#674C47</t>
  </si>
  <si>
    <t>Liver (dogs)</t>
  </si>
  <si>
    <t>#B86D29</t>
  </si>
  <si>
    <t>Liver (organ)</t>
  </si>
  <si>
    <t>#6C2E1F</t>
  </si>
  <si>
    <t>Liver chestnut</t>
  </si>
  <si>
    <t>#987456</t>
  </si>
  <si>
    <t>Livid</t>
  </si>
  <si>
    <t>Lumber</t>
  </si>
  <si>
    <t>#FFE4CD</t>
  </si>
  <si>
    <t>Lust</t>
  </si>
  <si>
    <t>#E62020</t>
  </si>
  <si>
    <t>Macaroni and Cheese</t>
  </si>
  <si>
    <t>#FFBD88</t>
  </si>
  <si>
    <t>Magenta</t>
  </si>
  <si>
    <t>Magenta (Crayola)</t>
  </si>
  <si>
    <t>Magenta (dye)</t>
  </si>
  <si>
    <t>#CA1F7B</t>
  </si>
  <si>
    <t>Magenta (Pantone)</t>
  </si>
  <si>
    <t>#D0417E</t>
  </si>
  <si>
    <t>Magenta (process)</t>
  </si>
  <si>
    <t>#FF0090</t>
  </si>
  <si>
    <t>Magenta haze</t>
  </si>
  <si>
    <t>#9F4576</t>
  </si>
  <si>
    <t>Magenta-pink</t>
  </si>
  <si>
    <t>#CC338B</t>
  </si>
  <si>
    <t>Magic mint</t>
  </si>
  <si>
    <t>#AAF0D1</t>
  </si>
  <si>
    <t>Magic Potion</t>
  </si>
  <si>
    <t>#FF4466</t>
  </si>
  <si>
    <t>Magnolia</t>
  </si>
  <si>
    <t>#F8F4FF</t>
  </si>
  <si>
    <t>Mahogany</t>
  </si>
  <si>
    <t>#C04000</t>
  </si>
  <si>
    <t>Maize</t>
  </si>
  <si>
    <t>Majorelle Blue</t>
  </si>
  <si>
    <t>#6050DC</t>
  </si>
  <si>
    <t>Malachite</t>
  </si>
  <si>
    <t>#0BDA51</t>
  </si>
  <si>
    <t>Manatee</t>
  </si>
  <si>
    <t>#979AAA</t>
  </si>
  <si>
    <t>Mandarin</t>
  </si>
  <si>
    <t>#F37A48</t>
  </si>
  <si>
    <t>Mango Tango</t>
  </si>
  <si>
    <t>#FF8243</t>
  </si>
  <si>
    <t>Mantis</t>
  </si>
  <si>
    <t>#74C365</t>
  </si>
  <si>
    <t>Mardi Gras</t>
  </si>
  <si>
    <t>#880085</t>
  </si>
  <si>
    <t>Marigold</t>
  </si>
  <si>
    <t>#EAA221</t>
  </si>
  <si>
    <t>Maroon (Crayola)</t>
  </si>
  <si>
    <t>Maroon (HTML/CSS)</t>
  </si>
  <si>
    <t>#800000</t>
  </si>
  <si>
    <t>Maroon (X11)</t>
  </si>
  <si>
    <t>#B03060</t>
  </si>
  <si>
    <t>Mauve</t>
  </si>
  <si>
    <t>#E0B0FF</t>
  </si>
  <si>
    <t>Mauve taupe</t>
  </si>
  <si>
    <t>#915F6D</t>
  </si>
  <si>
    <t>Mauvelous</t>
  </si>
  <si>
    <t>#EF98AA</t>
  </si>
  <si>
    <t>Maximum Blue</t>
  </si>
  <si>
    <t>#47ABCC</t>
  </si>
  <si>
    <t>Maximum Yellow</t>
  </si>
  <si>
    <t>#FAFA37</t>
  </si>
  <si>
    <t>May green</t>
  </si>
  <si>
    <t>#4C9141</t>
  </si>
  <si>
    <t>Maya blue</t>
  </si>
  <si>
    <t>#73C2FB</t>
  </si>
  <si>
    <t>Meat brown</t>
  </si>
  <si>
    <t>#E5B73B</t>
  </si>
  <si>
    <t>Medium aquamarine</t>
  </si>
  <si>
    <t>#66DDAA</t>
  </si>
  <si>
    <t>Medium blue</t>
  </si>
  <si>
    <t>#0000CD</t>
  </si>
  <si>
    <t>Medium candy apple red</t>
  </si>
  <si>
    <t>#E2062C</t>
  </si>
  <si>
    <t>Medium carmine</t>
  </si>
  <si>
    <t>#AF4035</t>
  </si>
  <si>
    <t>Medium champagne</t>
  </si>
  <si>
    <t>#F3E5AB</t>
  </si>
  <si>
    <t>Medium electric blue</t>
  </si>
  <si>
    <t>#035096</t>
  </si>
  <si>
    <t>Medium jungle green</t>
  </si>
  <si>
    <t>#1C352D</t>
  </si>
  <si>
    <t>Medium lavender magenta</t>
  </si>
  <si>
    <t>#DDA0DD</t>
  </si>
  <si>
    <t>Medium orchid</t>
  </si>
  <si>
    <t>#BA55D3</t>
  </si>
  <si>
    <t>Medium Persian blue</t>
  </si>
  <si>
    <t>#0067A5</t>
  </si>
  <si>
    <t>Medium purple</t>
  </si>
  <si>
    <t>#9370DB</t>
  </si>
  <si>
    <t>Medium red-violet</t>
  </si>
  <si>
    <t>#BB3385</t>
  </si>
  <si>
    <t>Medium ruby</t>
  </si>
  <si>
    <t>#AA4069</t>
  </si>
  <si>
    <t>Medium sea green</t>
  </si>
  <si>
    <t>#3CB371</t>
  </si>
  <si>
    <t>Medium sky blue</t>
  </si>
  <si>
    <t>#80DAEB</t>
  </si>
  <si>
    <t>Medium slate blue</t>
  </si>
  <si>
    <t>#7B68EE</t>
  </si>
  <si>
    <t>Medium spring bud</t>
  </si>
  <si>
    <t>#C9DC87</t>
  </si>
  <si>
    <t>Medium spring green</t>
  </si>
  <si>
    <t>#00FA9A</t>
  </si>
  <si>
    <t>Medium taupe</t>
  </si>
  <si>
    <t>Medium turquoise</t>
  </si>
  <si>
    <t>#48D1CC</t>
  </si>
  <si>
    <t>Medium Tuscan red</t>
  </si>
  <si>
    <t>Medium vermilion</t>
  </si>
  <si>
    <t>#D9603B</t>
  </si>
  <si>
    <t>Medium violet-red</t>
  </si>
  <si>
    <t>#C71585</t>
  </si>
  <si>
    <t>Mellow apricot</t>
  </si>
  <si>
    <t>#F8B878</t>
  </si>
  <si>
    <t>Mellow yellow</t>
  </si>
  <si>
    <t>Melon</t>
  </si>
  <si>
    <t>#FDBCB4</t>
  </si>
  <si>
    <t>Metallic Seaweed</t>
  </si>
  <si>
    <t>#0A7E8C</t>
  </si>
  <si>
    <t>Metallic Sunburst</t>
  </si>
  <si>
    <t>#9C7C38</t>
  </si>
  <si>
    <t>Mexican pink</t>
  </si>
  <si>
    <t>#E4007C</t>
  </si>
  <si>
    <t>Midnight</t>
  </si>
  <si>
    <t>#702670</t>
  </si>
  <si>
    <t>Midnight blue</t>
  </si>
  <si>
    <t>#191970</t>
  </si>
  <si>
    <t>Midnight green (eagle green)</t>
  </si>
  <si>
    <t>#004953</t>
  </si>
  <si>
    <t>Mikado yellow</t>
  </si>
  <si>
    <t>#FFC40C</t>
  </si>
  <si>
    <t>Mindaro</t>
  </si>
  <si>
    <t>#E3F988</t>
  </si>
  <si>
    <t>Ming</t>
  </si>
  <si>
    <t>#36747D</t>
  </si>
  <si>
    <t>Minion Yellow</t>
  </si>
  <si>
    <t>#F5E050</t>
  </si>
  <si>
    <t>Mint</t>
  </si>
  <si>
    <t>#3EB489</t>
  </si>
  <si>
    <t>Mint cream</t>
  </si>
  <si>
    <t>#F5FFFA</t>
  </si>
  <si>
    <t>Mint green</t>
  </si>
  <si>
    <t>#98FF98</t>
  </si>
  <si>
    <t>Misty Moss</t>
  </si>
  <si>
    <t>#BBB477</t>
  </si>
  <si>
    <t>Misty rose</t>
  </si>
  <si>
    <t>#FFE4E1</t>
  </si>
  <si>
    <t>Moccasin</t>
  </si>
  <si>
    <t>Mode beige</t>
  </si>
  <si>
    <t>Moonstone blue</t>
  </si>
  <si>
    <t>#73A9C2</t>
  </si>
  <si>
    <t>Mordant red 19</t>
  </si>
  <si>
    <t>#AE0C00</t>
  </si>
  <si>
    <t>Moss green</t>
  </si>
  <si>
    <t>#8A9A5B</t>
  </si>
  <si>
    <t>Mountain Meadow</t>
  </si>
  <si>
    <t>#30BA8F</t>
  </si>
  <si>
    <t>Mountbatten pink</t>
  </si>
  <si>
    <t>#997A8D</t>
  </si>
  <si>
    <t>MSU Green</t>
  </si>
  <si>
    <t>#18453B</t>
  </si>
  <si>
    <t>Mughal green</t>
  </si>
  <si>
    <t>#306030</t>
  </si>
  <si>
    <t>Mulberry</t>
  </si>
  <si>
    <t>#C54B8C</t>
  </si>
  <si>
    <t>Mummy's Tomb</t>
  </si>
  <si>
    <t>#828E84</t>
  </si>
  <si>
    <t>Mustard</t>
  </si>
  <si>
    <t>#FFDB58</t>
  </si>
  <si>
    <t>Myrtle green</t>
  </si>
  <si>
    <t>#317873</t>
  </si>
  <si>
    <t>Mystic</t>
  </si>
  <si>
    <t>#D65282</t>
  </si>
  <si>
    <t>Mystic Maroon</t>
  </si>
  <si>
    <t>#AD4379</t>
  </si>
  <si>
    <t>Nadeshiko pink</t>
  </si>
  <si>
    <t>#F6ADC6</t>
  </si>
  <si>
    <t>Napier green</t>
  </si>
  <si>
    <t>#2A8000</t>
  </si>
  <si>
    <t>Naples yellow</t>
  </si>
  <si>
    <t>#FADA5E</t>
  </si>
  <si>
    <t>Navajo white</t>
  </si>
  <si>
    <t>#FFDEAD</t>
  </si>
  <si>
    <t>Navy</t>
  </si>
  <si>
    <t>#000080</t>
  </si>
  <si>
    <t>Navy purple</t>
  </si>
  <si>
    <t>Neon Carrot</t>
  </si>
  <si>
    <t>#FFA343</t>
  </si>
  <si>
    <t>Neon fuchsia</t>
  </si>
  <si>
    <t>#FE4164</t>
  </si>
  <si>
    <t>Neon green</t>
  </si>
  <si>
    <t>#39FF14</t>
  </si>
  <si>
    <t>New Car</t>
  </si>
  <si>
    <t>#214FC6</t>
  </si>
  <si>
    <t>New York pink</t>
  </si>
  <si>
    <t>#D7837F</t>
  </si>
  <si>
    <t>Nickel</t>
  </si>
  <si>
    <t>#727472</t>
  </si>
  <si>
    <t>Non-photo blue</t>
  </si>
  <si>
    <t>#A4DDED</t>
  </si>
  <si>
    <t>North Texas Green</t>
  </si>
  <si>
    <t>#059033</t>
  </si>
  <si>
    <t>Nyanza</t>
  </si>
  <si>
    <t>#E9FFDB</t>
  </si>
  <si>
    <t>Ocean Blue</t>
  </si>
  <si>
    <t>#4F42B5</t>
  </si>
  <si>
    <t>Ocean Boat Blue</t>
  </si>
  <si>
    <t>#0077BE</t>
  </si>
  <si>
    <t>Ocean Green</t>
  </si>
  <si>
    <t>#48BF91</t>
  </si>
  <si>
    <t>Ochre</t>
  </si>
  <si>
    <t>#CC7722</t>
  </si>
  <si>
    <t>Office green</t>
  </si>
  <si>
    <t>Ogre Odor</t>
  </si>
  <si>
    <t>#FD5240</t>
  </si>
  <si>
    <t>Old burgundy</t>
  </si>
  <si>
    <t>#43302E</t>
  </si>
  <si>
    <t>Old gold</t>
  </si>
  <si>
    <t>#CFB53B</t>
  </si>
  <si>
    <t>Old heliotrope</t>
  </si>
  <si>
    <t>Old lace</t>
  </si>
  <si>
    <t>#FDF5E6</t>
  </si>
  <si>
    <t>Old lavender</t>
  </si>
  <si>
    <t>#796878</t>
  </si>
  <si>
    <t>Old mauve</t>
  </si>
  <si>
    <t>#673147</t>
  </si>
  <si>
    <t>Old moss green</t>
  </si>
  <si>
    <t>#867E36</t>
  </si>
  <si>
    <t>Old rose</t>
  </si>
  <si>
    <t>#C08081</t>
  </si>
  <si>
    <t>Old silver</t>
  </si>
  <si>
    <t>Olive</t>
  </si>
  <si>
    <t>Olive Drab (#3)</t>
  </si>
  <si>
    <t>#6B8E23</t>
  </si>
  <si>
    <t>Olive Drab #7</t>
  </si>
  <si>
    <t>#3C341F</t>
  </si>
  <si>
    <t>Olivine</t>
  </si>
  <si>
    <t>#9AB973</t>
  </si>
  <si>
    <t>Onyx</t>
  </si>
  <si>
    <t>#353839</t>
  </si>
  <si>
    <t>Opera mauve</t>
  </si>
  <si>
    <t>#B784A7</t>
  </si>
  <si>
    <t>Orange (color wheel)</t>
  </si>
  <si>
    <t>#FF7F00</t>
  </si>
  <si>
    <t>Orange (Crayola)</t>
  </si>
  <si>
    <t>#FF7538</t>
  </si>
  <si>
    <t>Orange (Pantone)</t>
  </si>
  <si>
    <t>#FF5800</t>
  </si>
  <si>
    <t>Orange (RYB)</t>
  </si>
  <si>
    <t>#FB9902</t>
  </si>
  <si>
    <t>Orange (web)</t>
  </si>
  <si>
    <t>#FFA500</t>
  </si>
  <si>
    <t>Orange peel</t>
  </si>
  <si>
    <t>#FF9F00</t>
  </si>
  <si>
    <t>Orange-red</t>
  </si>
  <si>
    <t>#FF4500</t>
  </si>
  <si>
    <t>Orange Soda</t>
  </si>
  <si>
    <t>#FA5B3D</t>
  </si>
  <si>
    <t>Orange-yellow</t>
  </si>
  <si>
    <t>#F8D568</t>
  </si>
  <si>
    <t>Orchid</t>
  </si>
  <si>
    <t>#DA70D6</t>
  </si>
  <si>
    <t>Orchid pink</t>
  </si>
  <si>
    <t>#F2BDCD</t>
  </si>
  <si>
    <t>Orioles orange</t>
  </si>
  <si>
    <t>#FB4F14</t>
  </si>
  <si>
    <t>Otter brown</t>
  </si>
  <si>
    <t>Outer Space</t>
  </si>
  <si>
    <t>#414A4C</t>
  </si>
  <si>
    <t>Outrageous Orange</t>
  </si>
  <si>
    <t>#FF6E4A</t>
  </si>
  <si>
    <t>Oxford Blue</t>
  </si>
  <si>
    <t>#002147</t>
  </si>
  <si>
    <t>OU Crimson Red</t>
  </si>
  <si>
    <t>Pacific Blue</t>
  </si>
  <si>
    <t>#1CA9C9</t>
  </si>
  <si>
    <t>Pakistan green</t>
  </si>
  <si>
    <t>#006600</t>
  </si>
  <si>
    <t>Palatinate blue</t>
  </si>
  <si>
    <t>#273BE2</t>
  </si>
  <si>
    <t>Palatinate purple</t>
  </si>
  <si>
    <t>#682860</t>
  </si>
  <si>
    <t>Pale aqua</t>
  </si>
  <si>
    <t>Pale blue</t>
  </si>
  <si>
    <t>#AFEEEE</t>
  </si>
  <si>
    <t>Pale brown</t>
  </si>
  <si>
    <t>#987654</t>
  </si>
  <si>
    <t>Pale carmine</t>
  </si>
  <si>
    <t>Pale cerulean</t>
  </si>
  <si>
    <t>#9BC4E2</t>
  </si>
  <si>
    <t>Pale chestnut</t>
  </si>
  <si>
    <t>#DDADAF</t>
  </si>
  <si>
    <t>Pale copper</t>
  </si>
  <si>
    <t>Pale cornflower blue</t>
  </si>
  <si>
    <t>#ABCDEF</t>
  </si>
  <si>
    <t>Pale cyan</t>
  </si>
  <si>
    <t>#87D3F8</t>
  </si>
  <si>
    <t>Pale gold</t>
  </si>
  <si>
    <t>#E6BE8A</t>
  </si>
  <si>
    <t>Pale goldenrod</t>
  </si>
  <si>
    <t>#EEE8AA</t>
  </si>
  <si>
    <t>Pale green</t>
  </si>
  <si>
    <t>#98FB98</t>
  </si>
  <si>
    <t>Pale lavender</t>
  </si>
  <si>
    <t>#DCD0FF</t>
  </si>
  <si>
    <t>Pale magenta</t>
  </si>
  <si>
    <t>#F984E5</t>
  </si>
  <si>
    <t>Pale magenta-pink</t>
  </si>
  <si>
    <t>#FF99CC</t>
  </si>
  <si>
    <t>Pale pink</t>
  </si>
  <si>
    <t>#FADADD</t>
  </si>
  <si>
    <t>Pale plum</t>
  </si>
  <si>
    <t>Pale red-violet</t>
  </si>
  <si>
    <t>#DB7093</t>
  </si>
  <si>
    <t>Pale robin egg blue</t>
  </si>
  <si>
    <t>#96DED1</t>
  </si>
  <si>
    <t>Pale silver</t>
  </si>
  <si>
    <t>#C9C0BB</t>
  </si>
  <si>
    <t>Pale spring bud</t>
  </si>
  <si>
    <t>#ECEBBD</t>
  </si>
  <si>
    <t>Pale taupe</t>
  </si>
  <si>
    <t>#BC987E</t>
  </si>
  <si>
    <t>Pale turquoise</t>
  </si>
  <si>
    <t>Pale violet</t>
  </si>
  <si>
    <t>#CC99FF</t>
  </si>
  <si>
    <t>Pale violet-red</t>
  </si>
  <si>
    <t>Pansy purple</t>
  </si>
  <si>
    <t>#78184A</t>
  </si>
  <si>
    <t>Paolo Veronese green</t>
  </si>
  <si>
    <t>#009B7D</t>
  </si>
  <si>
    <t>Papaya whip</t>
  </si>
  <si>
    <t>#FFEFD5</t>
  </si>
  <si>
    <t>Paradise pink</t>
  </si>
  <si>
    <t>#E63E62</t>
  </si>
  <si>
    <t>Paris Green</t>
  </si>
  <si>
    <t>Pastel blue</t>
  </si>
  <si>
    <t>#AEC6CF</t>
  </si>
  <si>
    <t>Pastel brown</t>
  </si>
  <si>
    <t>#836953</t>
  </si>
  <si>
    <t>Pastel gray</t>
  </si>
  <si>
    <t>#CFCFC4</t>
  </si>
  <si>
    <t>Pastel green</t>
  </si>
  <si>
    <t>#77DD77</t>
  </si>
  <si>
    <t>Pastel magenta</t>
  </si>
  <si>
    <t>#F49AC2</t>
  </si>
  <si>
    <t>Pastel orange</t>
  </si>
  <si>
    <t>#FFB347</t>
  </si>
  <si>
    <t>Pastel pink</t>
  </si>
  <si>
    <t>#DEA5A4</t>
  </si>
  <si>
    <t>Pastel purple</t>
  </si>
  <si>
    <t>#B39EB5</t>
  </si>
  <si>
    <t>Pastel red</t>
  </si>
  <si>
    <t>#FF6961</t>
  </si>
  <si>
    <t>Pastel violet</t>
  </si>
  <si>
    <t>#CB99C9</t>
  </si>
  <si>
    <t>Pastel yellow</t>
  </si>
  <si>
    <t>#FDFD96</t>
  </si>
  <si>
    <t>Patriarch</t>
  </si>
  <si>
    <t>#800080</t>
  </si>
  <si>
    <t>Payne's grey</t>
  </si>
  <si>
    <t>Peach</t>
  </si>
  <si>
    <t>#FFE5B4</t>
  </si>
  <si>
    <t>Peach-orange</t>
  </si>
  <si>
    <t>#FFCC99</t>
  </si>
  <si>
    <t>Peach puff</t>
  </si>
  <si>
    <t>#FFDAB9</t>
  </si>
  <si>
    <t>Peach-yellow</t>
  </si>
  <si>
    <t>#FADFAD</t>
  </si>
  <si>
    <t>Pear</t>
  </si>
  <si>
    <t>#D1E231</t>
  </si>
  <si>
    <t>Pearl</t>
  </si>
  <si>
    <t>#EAE0C8</t>
  </si>
  <si>
    <t>Pearl Aqua</t>
  </si>
  <si>
    <t>#88D8C0</t>
  </si>
  <si>
    <t>Pearly purple</t>
  </si>
  <si>
    <t>#B768A2</t>
  </si>
  <si>
    <t>Peridot</t>
  </si>
  <si>
    <t>#E6E200</t>
  </si>
  <si>
    <t>Periwinkle</t>
  </si>
  <si>
    <t>Permanent Geranium Lake</t>
  </si>
  <si>
    <t>#E12C2C</t>
  </si>
  <si>
    <t>Persian blue</t>
  </si>
  <si>
    <t>#1C39BB</t>
  </si>
  <si>
    <t>Persian green</t>
  </si>
  <si>
    <t>#00A693</t>
  </si>
  <si>
    <t>Persian indigo</t>
  </si>
  <si>
    <t>#32127A</t>
  </si>
  <si>
    <t>Persian orange</t>
  </si>
  <si>
    <t>#D99058</t>
  </si>
  <si>
    <t>Persian pink</t>
  </si>
  <si>
    <t>#F77FBE</t>
  </si>
  <si>
    <t>Persian plum</t>
  </si>
  <si>
    <t>#701C1C</t>
  </si>
  <si>
    <t>Persian red</t>
  </si>
  <si>
    <t>#CC3333</t>
  </si>
  <si>
    <t>Persian rose</t>
  </si>
  <si>
    <t>#FE28A2</t>
  </si>
  <si>
    <t>Persimmon</t>
  </si>
  <si>
    <t>#EC5800</t>
  </si>
  <si>
    <t>Peru</t>
  </si>
  <si>
    <t>#CD853F</t>
  </si>
  <si>
    <t>Pewter Blue</t>
  </si>
  <si>
    <t>#8BA8B7</t>
  </si>
  <si>
    <t>Phlox</t>
  </si>
  <si>
    <t>#DF00FF</t>
  </si>
  <si>
    <t>Phthalo blue</t>
  </si>
  <si>
    <t>#000F89</t>
  </si>
  <si>
    <t>Phthalo green</t>
  </si>
  <si>
    <t>#123524</t>
  </si>
  <si>
    <t>Picton blue</t>
  </si>
  <si>
    <t>#45B1E8</t>
  </si>
  <si>
    <t>Pictorial carmine</t>
  </si>
  <si>
    <t>#C30B4E</t>
  </si>
  <si>
    <t>Piggy pink</t>
  </si>
  <si>
    <t>#FDDDE6</t>
  </si>
  <si>
    <t>Pine green</t>
  </si>
  <si>
    <t>#01796F</t>
  </si>
  <si>
    <t>Pineapple</t>
  </si>
  <si>
    <t>Pink</t>
  </si>
  <si>
    <t>#FFC0CB</t>
  </si>
  <si>
    <t>Pink (Pantone)</t>
  </si>
  <si>
    <t>#D74894</t>
  </si>
  <si>
    <t>Pink Flamingo</t>
  </si>
  <si>
    <t>#FC74FD</t>
  </si>
  <si>
    <t>Pink lace</t>
  </si>
  <si>
    <t>#FFDDF4</t>
  </si>
  <si>
    <t>Pink lavender</t>
  </si>
  <si>
    <t>#D8B2D1</t>
  </si>
  <si>
    <t>Pink-orange</t>
  </si>
  <si>
    <t>Pink pearl</t>
  </si>
  <si>
    <t>#E7ACCF</t>
  </si>
  <si>
    <t>Pink raspberry</t>
  </si>
  <si>
    <t>#980036</t>
  </si>
  <si>
    <t>Pink Sherbet</t>
  </si>
  <si>
    <t>#F78FA7</t>
  </si>
  <si>
    <t>Pistachio</t>
  </si>
  <si>
    <t>#93C572</t>
  </si>
  <si>
    <t>Pixie Powder</t>
  </si>
  <si>
    <t>#391285</t>
  </si>
  <si>
    <t>Platinum</t>
  </si>
  <si>
    <t>#E5E4E2</t>
  </si>
  <si>
    <t>Plum</t>
  </si>
  <si>
    <t>#8E4585</t>
  </si>
  <si>
    <t>Plum (web)</t>
  </si>
  <si>
    <t>Plump Purple</t>
  </si>
  <si>
    <t>#5946B2</t>
  </si>
  <si>
    <t>Polished Pine</t>
  </si>
  <si>
    <t>#5DA493</t>
  </si>
  <si>
    <t>Pomp and Power</t>
  </si>
  <si>
    <t>Popstar</t>
  </si>
  <si>
    <t>#BE4F62</t>
  </si>
  <si>
    <t>Portland Orange</t>
  </si>
  <si>
    <t>#FF5A36</t>
  </si>
  <si>
    <t>Powder blue</t>
  </si>
  <si>
    <t>#B0E0E6</t>
  </si>
  <si>
    <t>Princess Perfume</t>
  </si>
  <si>
    <t>#FF85CF</t>
  </si>
  <si>
    <t>Princeton orange</t>
  </si>
  <si>
    <t>#F58025</t>
  </si>
  <si>
    <t>Prune</t>
  </si>
  <si>
    <t>Prussian blue</t>
  </si>
  <si>
    <t>#003153</t>
  </si>
  <si>
    <t>Psychedelic purple</t>
  </si>
  <si>
    <t>Puce</t>
  </si>
  <si>
    <t>#CC8899</t>
  </si>
  <si>
    <t>Puce red</t>
  </si>
  <si>
    <t>#722F37</t>
  </si>
  <si>
    <t>Pullman Brown (UPS Brown)</t>
  </si>
  <si>
    <t>#644117</t>
  </si>
  <si>
    <t>Pullman Green</t>
  </si>
  <si>
    <t>#3B331C</t>
  </si>
  <si>
    <t>Pumpkin</t>
  </si>
  <si>
    <t>#FF7518</t>
  </si>
  <si>
    <t>Purple (HTML)</t>
  </si>
  <si>
    <t>Purple (Munsell)</t>
  </si>
  <si>
    <t>#9F00C5</t>
  </si>
  <si>
    <t>Purple (X11)</t>
  </si>
  <si>
    <t>#A020F0</t>
  </si>
  <si>
    <t>Purple Heart</t>
  </si>
  <si>
    <t>#69359C</t>
  </si>
  <si>
    <t>Purple mountain majesty</t>
  </si>
  <si>
    <t>#9678B6</t>
  </si>
  <si>
    <t>Purple navy</t>
  </si>
  <si>
    <t>#4E5180</t>
  </si>
  <si>
    <t>Purple pizzazz</t>
  </si>
  <si>
    <t>#FE4EDA</t>
  </si>
  <si>
    <t>Purple Plum</t>
  </si>
  <si>
    <t>#9C51B6</t>
  </si>
  <si>
    <t>Purple taupe</t>
  </si>
  <si>
    <t>#50404D</t>
  </si>
  <si>
    <t>Purpureus</t>
  </si>
  <si>
    <t>#9A4EAE</t>
  </si>
  <si>
    <t>Quartz</t>
  </si>
  <si>
    <t>#51484F</t>
  </si>
  <si>
    <t>Queen blue</t>
  </si>
  <si>
    <t>#436B95</t>
  </si>
  <si>
    <t>Queen pink</t>
  </si>
  <si>
    <t>#E8CCD7</t>
  </si>
  <si>
    <t>Quick Silver</t>
  </si>
  <si>
    <t>#A6A6A6</t>
  </si>
  <si>
    <t>Quinacridone magenta</t>
  </si>
  <si>
    <t>#8E3A59</t>
  </si>
  <si>
    <t>Rackley</t>
  </si>
  <si>
    <t>Radical Red</t>
  </si>
  <si>
    <t>#FF355E</t>
  </si>
  <si>
    <t>Raisin black</t>
  </si>
  <si>
    <t>#242124</t>
  </si>
  <si>
    <t>Rajah</t>
  </si>
  <si>
    <t>#FBAB60</t>
  </si>
  <si>
    <t>Raspberry</t>
  </si>
  <si>
    <t>#E30B5D</t>
  </si>
  <si>
    <t>Raspberry glace</t>
  </si>
  <si>
    <t>Raspberry pink</t>
  </si>
  <si>
    <t>#E25098</t>
  </si>
  <si>
    <t>Raspberry rose</t>
  </si>
  <si>
    <t>Raw Sienna</t>
  </si>
  <si>
    <t>#D68A59</t>
  </si>
  <si>
    <t>Raw umber</t>
  </si>
  <si>
    <t>#826644</t>
  </si>
  <si>
    <t>Razzle dazzle rose</t>
  </si>
  <si>
    <t>#FF33CC</t>
  </si>
  <si>
    <t>Razzmatazz</t>
  </si>
  <si>
    <t>#E3256B</t>
  </si>
  <si>
    <t>Razzmic Berry</t>
  </si>
  <si>
    <t>#8D4E85</t>
  </si>
  <si>
    <t>Rebecca Purple</t>
  </si>
  <si>
    <t>#663399</t>
  </si>
  <si>
    <t>Red</t>
  </si>
  <si>
    <t>#FF0000</t>
  </si>
  <si>
    <t>Red (Crayola)</t>
  </si>
  <si>
    <t>#EE204D</t>
  </si>
  <si>
    <t>Red (Munsell)</t>
  </si>
  <si>
    <t>#F2003C</t>
  </si>
  <si>
    <t>Red (NCS)</t>
  </si>
  <si>
    <t>#C40233</t>
  </si>
  <si>
    <t>Red (Pantone)</t>
  </si>
  <si>
    <t>Red (pigment)</t>
  </si>
  <si>
    <t>#ED1C24</t>
  </si>
  <si>
    <t>Red (RYB)</t>
  </si>
  <si>
    <t>#FE2712</t>
  </si>
  <si>
    <t>Red-brown</t>
  </si>
  <si>
    <t>Red devil</t>
  </si>
  <si>
    <t>#860111</t>
  </si>
  <si>
    <t>Red-orange</t>
  </si>
  <si>
    <t>#FF5349</t>
  </si>
  <si>
    <t>Red-purple</t>
  </si>
  <si>
    <t>#E40078</t>
  </si>
  <si>
    <t>Red Salsa</t>
  </si>
  <si>
    <t>#FD3A4A</t>
  </si>
  <si>
    <t>Red-violet</t>
  </si>
  <si>
    <t>Redwood</t>
  </si>
  <si>
    <t>#A45A52</t>
  </si>
  <si>
    <t>Regalia</t>
  </si>
  <si>
    <t>#522D80</t>
  </si>
  <si>
    <t>Registration black</t>
  </si>
  <si>
    <t>Resolution blue</t>
  </si>
  <si>
    <t>#002387</t>
  </si>
  <si>
    <t>Rhythm</t>
  </si>
  <si>
    <t>#777696</t>
  </si>
  <si>
    <t>Rich black</t>
  </si>
  <si>
    <t>#004040</t>
  </si>
  <si>
    <t>Rich black (FOGRA29)</t>
  </si>
  <si>
    <t>#010B13</t>
  </si>
  <si>
    <t>Rich black (FOGRA39)</t>
  </si>
  <si>
    <t>#010203</t>
  </si>
  <si>
    <t>Rich brilliant lavender</t>
  </si>
  <si>
    <t>#F1A7FE</t>
  </si>
  <si>
    <t>Rich carmine</t>
  </si>
  <si>
    <t>Rich electric blue</t>
  </si>
  <si>
    <t>#0892D0</t>
  </si>
  <si>
    <t>Rich lavender</t>
  </si>
  <si>
    <t>#A76BCF</t>
  </si>
  <si>
    <t>Rich lilac</t>
  </si>
  <si>
    <t>#B666D2</t>
  </si>
  <si>
    <t>Rich maroon</t>
  </si>
  <si>
    <t>Rifle green</t>
  </si>
  <si>
    <t>#444C38</t>
  </si>
  <si>
    <t>Roast coffee</t>
  </si>
  <si>
    <t>Robin egg blue</t>
  </si>
  <si>
    <t>#00CCCC</t>
  </si>
  <si>
    <t>Rocket metallic</t>
  </si>
  <si>
    <t>#8A7F80</t>
  </si>
  <si>
    <t>Roman silver</t>
  </si>
  <si>
    <t>#838996</t>
  </si>
  <si>
    <t>Rose</t>
  </si>
  <si>
    <t>Rose bonbon</t>
  </si>
  <si>
    <t>#F9429E</t>
  </si>
  <si>
    <t>Rose Dust</t>
  </si>
  <si>
    <t>#9E5E6F</t>
  </si>
  <si>
    <t>Rose ebony</t>
  </si>
  <si>
    <t>#674846</t>
  </si>
  <si>
    <t>Rose gold</t>
  </si>
  <si>
    <t>#B76E79</t>
  </si>
  <si>
    <t>Rose madder</t>
  </si>
  <si>
    <t>Rose pink</t>
  </si>
  <si>
    <t>#FF66CC</t>
  </si>
  <si>
    <t>Rose quartz</t>
  </si>
  <si>
    <t>Rose red</t>
  </si>
  <si>
    <t>#C21E56</t>
  </si>
  <si>
    <t>Rose taupe</t>
  </si>
  <si>
    <t>#905D5D</t>
  </si>
  <si>
    <t>Rose vale</t>
  </si>
  <si>
    <t>#AB4E52</t>
  </si>
  <si>
    <t>Rosewood</t>
  </si>
  <si>
    <t>#65000B</t>
  </si>
  <si>
    <t>Rosso corsa</t>
  </si>
  <si>
    <t>#D40000</t>
  </si>
  <si>
    <t>Rosy brown</t>
  </si>
  <si>
    <t>#BC8F8F</t>
  </si>
  <si>
    <t>Royal azure</t>
  </si>
  <si>
    <t>#0038A8</t>
  </si>
  <si>
    <t>Royal blue</t>
  </si>
  <si>
    <t>#002366</t>
  </si>
  <si>
    <t>#4169E1</t>
  </si>
  <si>
    <t>Royal fuchsia</t>
  </si>
  <si>
    <t>#CA2C92</t>
  </si>
  <si>
    <t>Royal purple</t>
  </si>
  <si>
    <t>#7851A9</t>
  </si>
  <si>
    <t>Royal yellow</t>
  </si>
  <si>
    <t>Ruber</t>
  </si>
  <si>
    <t>#CE4676</t>
  </si>
  <si>
    <t>Rubine red</t>
  </si>
  <si>
    <t>#D10056</t>
  </si>
  <si>
    <t>Ruby</t>
  </si>
  <si>
    <t>#E0115F</t>
  </si>
  <si>
    <t>Ruby red</t>
  </si>
  <si>
    <t>#9B111E</t>
  </si>
  <si>
    <t>Ruddy</t>
  </si>
  <si>
    <t>#FF0028</t>
  </si>
  <si>
    <t>Ruddy brown</t>
  </si>
  <si>
    <t>#BB6528</t>
  </si>
  <si>
    <t>Ruddy pink</t>
  </si>
  <si>
    <t>#E18E96</t>
  </si>
  <si>
    <t>Rufous</t>
  </si>
  <si>
    <t>#A81C07</t>
  </si>
  <si>
    <t>Russet</t>
  </si>
  <si>
    <t>#80461B</t>
  </si>
  <si>
    <t>Russian green</t>
  </si>
  <si>
    <t>#679267</t>
  </si>
  <si>
    <t>Russian violet</t>
  </si>
  <si>
    <t>#32174D</t>
  </si>
  <si>
    <t>Rust</t>
  </si>
  <si>
    <t>#B7410E</t>
  </si>
  <si>
    <t>Rusty red</t>
  </si>
  <si>
    <t>#DA2C43</t>
  </si>
  <si>
    <t>Sacramento State green</t>
  </si>
  <si>
    <t>Saddle brown</t>
  </si>
  <si>
    <t>#8B4513</t>
  </si>
  <si>
    <t>Safety orange</t>
  </si>
  <si>
    <t>#FF7800</t>
  </si>
  <si>
    <t>Safety orange (blaze orange)</t>
  </si>
  <si>
    <t>#FF6700</t>
  </si>
  <si>
    <t>Safety yellow</t>
  </si>
  <si>
    <t>#EED202</t>
  </si>
  <si>
    <t>Saffron</t>
  </si>
  <si>
    <t>#F4C430</t>
  </si>
  <si>
    <t>Sage</t>
  </si>
  <si>
    <t>#BCB88A</t>
  </si>
  <si>
    <t>St. Patrick's blue</t>
  </si>
  <si>
    <t>#23297A</t>
  </si>
  <si>
    <t>Salmon</t>
  </si>
  <si>
    <t>#FA8072</t>
  </si>
  <si>
    <t>Salmon pink</t>
  </si>
  <si>
    <t>#FF91A4</t>
  </si>
  <si>
    <t>Sand</t>
  </si>
  <si>
    <t>Sand dune</t>
  </si>
  <si>
    <t>Sandstorm</t>
  </si>
  <si>
    <t>#ECD540</t>
  </si>
  <si>
    <t>Sandy brown</t>
  </si>
  <si>
    <t>#F4A460</t>
  </si>
  <si>
    <t>Sandy taupe</t>
  </si>
  <si>
    <t>Sangria</t>
  </si>
  <si>
    <t>#92000A</t>
  </si>
  <si>
    <t>Sap green</t>
  </si>
  <si>
    <t>#507D2A</t>
  </si>
  <si>
    <t>Sapphire</t>
  </si>
  <si>
    <t>#0F52BA</t>
  </si>
  <si>
    <t>Sapphire blue</t>
  </si>
  <si>
    <t>Sasquatch Socks</t>
  </si>
  <si>
    <t>#FF4681</t>
  </si>
  <si>
    <t>Satin sheen gold</t>
  </si>
  <si>
    <t>#CBA135</t>
  </si>
  <si>
    <t>Scarlet</t>
  </si>
  <si>
    <t>#FF2400</t>
  </si>
  <si>
    <t>#FD0E35</t>
  </si>
  <si>
    <t>Schauss pink</t>
  </si>
  <si>
    <t>School bus yellow</t>
  </si>
  <si>
    <t>#FFD800</t>
  </si>
  <si>
    <t>Screamin' Green</t>
  </si>
  <si>
    <t>#66FF66</t>
  </si>
  <si>
    <t>Sea blue</t>
  </si>
  <si>
    <t>#006994</t>
  </si>
  <si>
    <t>Sea green</t>
  </si>
  <si>
    <t>#2E8B57</t>
  </si>
  <si>
    <t>Sea Serpent</t>
  </si>
  <si>
    <t>#4BC7CF</t>
  </si>
  <si>
    <t>Seal brown</t>
  </si>
  <si>
    <t>#59260B</t>
  </si>
  <si>
    <t>Seashell</t>
  </si>
  <si>
    <t>#FFF5EE</t>
  </si>
  <si>
    <t>Selective yellow</t>
  </si>
  <si>
    <t>#FFBA00</t>
  </si>
  <si>
    <t>Sepia</t>
  </si>
  <si>
    <t>#704214</t>
  </si>
  <si>
    <t>Shadow</t>
  </si>
  <si>
    <t>#8A795D</t>
  </si>
  <si>
    <t>Shadow blue</t>
  </si>
  <si>
    <t>#778BA5</t>
  </si>
  <si>
    <t>Shampoo</t>
  </si>
  <si>
    <t>#FFCFF1</t>
  </si>
  <si>
    <t>Shamrock green</t>
  </si>
  <si>
    <t>#009E60</t>
  </si>
  <si>
    <t>Sheen Green</t>
  </si>
  <si>
    <t>#8FD400</t>
  </si>
  <si>
    <t>Shimmering Blush</t>
  </si>
  <si>
    <t>#D98695</t>
  </si>
  <si>
    <t>Shiny Shamrock</t>
  </si>
  <si>
    <t>#5FA778</t>
  </si>
  <si>
    <t>Shocking pink</t>
  </si>
  <si>
    <t>#FC0FC0</t>
  </si>
  <si>
    <t>Shocking pink (Crayola)</t>
  </si>
  <si>
    <t>#FF6FFF</t>
  </si>
  <si>
    <t>Sienna</t>
  </si>
  <si>
    <t>Silver</t>
  </si>
  <si>
    <t>#C0C0C0</t>
  </si>
  <si>
    <t>Silver chalice</t>
  </si>
  <si>
    <t>#ACACAC</t>
  </si>
  <si>
    <t>Silver Lake blue</t>
  </si>
  <si>
    <t>#5D89BA</t>
  </si>
  <si>
    <t>Silver pink</t>
  </si>
  <si>
    <t>#C4AEAD</t>
  </si>
  <si>
    <t>Silver sand</t>
  </si>
  <si>
    <t>#BFC1C2</t>
  </si>
  <si>
    <t>Sinopia</t>
  </si>
  <si>
    <t>#CB410B</t>
  </si>
  <si>
    <t>Sizzling Red</t>
  </si>
  <si>
    <t>#FF3855</t>
  </si>
  <si>
    <t>Sizzling Sunrise</t>
  </si>
  <si>
    <t>#FFDB00</t>
  </si>
  <si>
    <t>Skobeloff</t>
  </si>
  <si>
    <t>#007474</t>
  </si>
  <si>
    <t>Sky blue</t>
  </si>
  <si>
    <t>#87CEEB</t>
  </si>
  <si>
    <t>Sky magenta</t>
  </si>
  <si>
    <t>#CF71AF</t>
  </si>
  <si>
    <t>Slate blue</t>
  </si>
  <si>
    <t>#6A5ACD</t>
  </si>
  <si>
    <t>Slate gray</t>
  </si>
  <si>
    <t>#708090</t>
  </si>
  <si>
    <t>Smalt (Dark powder blue)</t>
  </si>
  <si>
    <t>Slimy Green</t>
  </si>
  <si>
    <t>#299617</t>
  </si>
  <si>
    <t>Smashed Pumpkin</t>
  </si>
  <si>
    <t>#FF6D3A</t>
  </si>
  <si>
    <t>Smitten</t>
  </si>
  <si>
    <t>#C84186</t>
  </si>
  <si>
    <t>Smoke</t>
  </si>
  <si>
    <t>#738276</t>
  </si>
  <si>
    <t>Smokey Topaz</t>
  </si>
  <si>
    <t>#832A0D</t>
  </si>
  <si>
    <t>Smoky black</t>
  </si>
  <si>
    <t>#100C08</t>
  </si>
  <si>
    <t>Smoky Topaz</t>
  </si>
  <si>
    <t>#933D41</t>
  </si>
  <si>
    <t>Snow</t>
  </si>
  <si>
    <t>#FFFAFA</t>
  </si>
  <si>
    <t>Soap</t>
  </si>
  <si>
    <t>#CEC8EF</t>
  </si>
  <si>
    <t>Solid pink</t>
  </si>
  <si>
    <t>#893843</t>
  </si>
  <si>
    <t>Sonic silver</t>
  </si>
  <si>
    <t>#757575</t>
  </si>
  <si>
    <t>Spartan Crimson</t>
  </si>
  <si>
    <t>#9E1316</t>
  </si>
  <si>
    <t>Space cadet</t>
  </si>
  <si>
    <t>#1D2951</t>
  </si>
  <si>
    <t>Spanish bistre</t>
  </si>
  <si>
    <t>#807532</t>
  </si>
  <si>
    <t>Spanish blue</t>
  </si>
  <si>
    <t>#0070B8</t>
  </si>
  <si>
    <t>Spanish carmine</t>
  </si>
  <si>
    <t>#D10047</t>
  </si>
  <si>
    <t>Spanish crimson</t>
  </si>
  <si>
    <t>#E51A4C</t>
  </si>
  <si>
    <t>Spanish gray</t>
  </si>
  <si>
    <t>#989898</t>
  </si>
  <si>
    <t>Spanish green</t>
  </si>
  <si>
    <t>#009150</t>
  </si>
  <si>
    <t>Spanish orange</t>
  </si>
  <si>
    <t>#E86100</t>
  </si>
  <si>
    <t>Spanish pink</t>
  </si>
  <si>
    <t>#F7BFBE</t>
  </si>
  <si>
    <t>Spanish red</t>
  </si>
  <si>
    <t>#E60026</t>
  </si>
  <si>
    <t>Spanish sky blue</t>
  </si>
  <si>
    <t>Spanish violet</t>
  </si>
  <si>
    <t>#4C2882</t>
  </si>
  <si>
    <t>Spanish viridian</t>
  </si>
  <si>
    <t>#007F5C</t>
  </si>
  <si>
    <t>Spicy mix</t>
  </si>
  <si>
    <t>#8B5f4D</t>
  </si>
  <si>
    <t>Spiro Disco Ball</t>
  </si>
  <si>
    <t>#0FC0FC</t>
  </si>
  <si>
    <t>Spring bud</t>
  </si>
  <si>
    <t>#A7FC00</t>
  </si>
  <si>
    <t>Spring Frost</t>
  </si>
  <si>
    <t>#87FF2A</t>
  </si>
  <si>
    <t>Spring green</t>
  </si>
  <si>
    <t>Star command blue</t>
  </si>
  <si>
    <t>#007BB8</t>
  </si>
  <si>
    <t>Steel blue</t>
  </si>
  <si>
    <t>#4682B4</t>
  </si>
  <si>
    <t>Steel pink</t>
  </si>
  <si>
    <t>#CC33CC</t>
  </si>
  <si>
    <t>Steel Teal</t>
  </si>
  <si>
    <t>#5F8A8B</t>
  </si>
  <si>
    <t>Stil de grain yellow</t>
  </si>
  <si>
    <t>Stizza</t>
  </si>
  <si>
    <t>Stormcloud</t>
  </si>
  <si>
    <t>#4F666A</t>
  </si>
  <si>
    <t>Straw</t>
  </si>
  <si>
    <t>#E4D96F</t>
  </si>
  <si>
    <t>Strawberry</t>
  </si>
  <si>
    <t>#FC5A8D</t>
  </si>
  <si>
    <t>Sugar Plum</t>
  </si>
  <si>
    <t>#914E75</t>
  </si>
  <si>
    <t>Sunburnt Cyclops</t>
  </si>
  <si>
    <t>#FF404C</t>
  </si>
  <si>
    <t>Sunglow</t>
  </si>
  <si>
    <t>#FFCC33</t>
  </si>
  <si>
    <t>Sunny</t>
  </si>
  <si>
    <t>#F2F27A</t>
  </si>
  <si>
    <t>Sunray</t>
  </si>
  <si>
    <t>#E3AB57</t>
  </si>
  <si>
    <t>Sunset</t>
  </si>
  <si>
    <t>Sunset orange</t>
  </si>
  <si>
    <t>#FD5E53</t>
  </si>
  <si>
    <t>Super pink</t>
  </si>
  <si>
    <t>#CF6BA9</t>
  </si>
  <si>
    <t>Sweet Brown</t>
  </si>
  <si>
    <t>#A83731</t>
  </si>
  <si>
    <t>Tan</t>
  </si>
  <si>
    <t>#D2B48C</t>
  </si>
  <si>
    <t>Tangelo</t>
  </si>
  <si>
    <t>#F94D00</t>
  </si>
  <si>
    <t>Tangerine</t>
  </si>
  <si>
    <t>#F28500</t>
  </si>
  <si>
    <t>Tangerine yellow</t>
  </si>
  <si>
    <t>#FFCC00</t>
  </si>
  <si>
    <t>Tango pink</t>
  </si>
  <si>
    <t>Tart Orange</t>
  </si>
  <si>
    <t>#FB4D46</t>
  </si>
  <si>
    <t>Taupe</t>
  </si>
  <si>
    <t>Taupe gray</t>
  </si>
  <si>
    <t>#8B8589</t>
  </si>
  <si>
    <t>Tea green</t>
  </si>
  <si>
    <t>#D0F0C0</t>
  </si>
  <si>
    <t>Tea rose</t>
  </si>
  <si>
    <t>Teal</t>
  </si>
  <si>
    <t>#008080</t>
  </si>
  <si>
    <t>Teal blue</t>
  </si>
  <si>
    <t>#367588</t>
  </si>
  <si>
    <t>Teal deer</t>
  </si>
  <si>
    <t>#99E6B3</t>
  </si>
  <si>
    <t>Teal green</t>
  </si>
  <si>
    <t>#00827F</t>
  </si>
  <si>
    <t>Telemagenta</t>
  </si>
  <si>
    <t>#CF3476</t>
  </si>
  <si>
    <t>TennÃ©</t>
  </si>
  <si>
    <t>#CD5700</t>
  </si>
  <si>
    <t>Terra cotta</t>
  </si>
  <si>
    <t>#E2725B</t>
  </si>
  <si>
    <t>Thistle</t>
  </si>
  <si>
    <t>#D8BFD8</t>
  </si>
  <si>
    <t>Thulian pink</t>
  </si>
  <si>
    <t>Tickle Me Pink</t>
  </si>
  <si>
    <t>#FC89AC</t>
  </si>
  <si>
    <t>Tiffany Blue</t>
  </si>
  <si>
    <t>#0ABAB5</t>
  </si>
  <si>
    <t>Tiger's eye</t>
  </si>
  <si>
    <t>#E08D3C</t>
  </si>
  <si>
    <t>Timberwolf</t>
  </si>
  <si>
    <t>#DBD7D2</t>
  </si>
  <si>
    <t>Titanium yellow</t>
  </si>
  <si>
    <t>#EEE600</t>
  </si>
  <si>
    <t>Tomato</t>
  </si>
  <si>
    <t>#FF6347</t>
  </si>
  <si>
    <t>Toolbox</t>
  </si>
  <si>
    <t>#746CC0</t>
  </si>
  <si>
    <t>Topaz</t>
  </si>
  <si>
    <t>#FFC87C</t>
  </si>
  <si>
    <t>Tractor red</t>
  </si>
  <si>
    <t>Trolley Grey</t>
  </si>
  <si>
    <t>Tropical rain forest</t>
  </si>
  <si>
    <t>#00755E</t>
  </si>
  <si>
    <t>Tropical violet</t>
  </si>
  <si>
    <t>#CDA4DE</t>
  </si>
  <si>
    <t>True Blue</t>
  </si>
  <si>
    <t>#0073CF</t>
  </si>
  <si>
    <t>Tufts Blue</t>
  </si>
  <si>
    <t>#417DC1</t>
  </si>
  <si>
    <t>Tulip</t>
  </si>
  <si>
    <t>#FF878D</t>
  </si>
  <si>
    <t>Tumbleweed</t>
  </si>
  <si>
    <t>#DEAA88</t>
  </si>
  <si>
    <t>Turkish rose</t>
  </si>
  <si>
    <t>#B57281</t>
  </si>
  <si>
    <t>Turquoise</t>
  </si>
  <si>
    <t>#40E0D0</t>
  </si>
  <si>
    <t>Turquoise blue</t>
  </si>
  <si>
    <t>#00FFEF</t>
  </si>
  <si>
    <t>Turquoise green</t>
  </si>
  <si>
    <t>#A0D6B4</t>
  </si>
  <si>
    <t>Turtle green</t>
  </si>
  <si>
    <t>Tuscan</t>
  </si>
  <si>
    <t>Tuscan brown</t>
  </si>
  <si>
    <t>Tuscan red</t>
  </si>
  <si>
    <t>#7C4848</t>
  </si>
  <si>
    <t>Tuscan tan</t>
  </si>
  <si>
    <t>Tuscany</t>
  </si>
  <si>
    <t>#C09999</t>
  </si>
  <si>
    <t>Twilight lavender</t>
  </si>
  <si>
    <t>#8A496B</t>
  </si>
  <si>
    <t>Tyrian purple</t>
  </si>
  <si>
    <t>UA blue</t>
  </si>
  <si>
    <t>#0033AA</t>
  </si>
  <si>
    <t>UA red</t>
  </si>
  <si>
    <t>#D9004C</t>
  </si>
  <si>
    <t>Ube</t>
  </si>
  <si>
    <t>#8878C3</t>
  </si>
  <si>
    <t>UCLA Blue</t>
  </si>
  <si>
    <t>#536895</t>
  </si>
  <si>
    <t>UCLA Gold</t>
  </si>
  <si>
    <t>#FFB300</t>
  </si>
  <si>
    <t>UFO Green</t>
  </si>
  <si>
    <t>#3CD070</t>
  </si>
  <si>
    <t>Ultramarine</t>
  </si>
  <si>
    <t>Ultramarine blue</t>
  </si>
  <si>
    <t>#4166F5</t>
  </si>
  <si>
    <t>Ultra pink</t>
  </si>
  <si>
    <t>Ultra red</t>
  </si>
  <si>
    <t>#FC6C85</t>
  </si>
  <si>
    <t>Umber</t>
  </si>
  <si>
    <t>#635147</t>
  </si>
  <si>
    <t>Unbleached silk</t>
  </si>
  <si>
    <t>#FFDDCA</t>
  </si>
  <si>
    <t>United Nations blue</t>
  </si>
  <si>
    <t>#5B92E5</t>
  </si>
  <si>
    <t>University of California Gold</t>
  </si>
  <si>
    <t>#B78727</t>
  </si>
  <si>
    <t>Unmellow yellow</t>
  </si>
  <si>
    <t>UP Forest green</t>
  </si>
  <si>
    <t>UP Maroon</t>
  </si>
  <si>
    <t>#7B1113</t>
  </si>
  <si>
    <t>Upsdell red</t>
  </si>
  <si>
    <t>#AE2029</t>
  </si>
  <si>
    <t>Urobilin</t>
  </si>
  <si>
    <t>#E1AD21</t>
  </si>
  <si>
    <t>USAFA blue</t>
  </si>
  <si>
    <t>#004F98</t>
  </si>
  <si>
    <t>USC Cardinal</t>
  </si>
  <si>
    <t>USC Gold</t>
  </si>
  <si>
    <t>University of Tennessee Orange</t>
  </si>
  <si>
    <t>#F77F00</t>
  </si>
  <si>
    <t>Utah Crimson</t>
  </si>
  <si>
    <t>#D3003F</t>
  </si>
  <si>
    <t>Van Dyke Brown</t>
  </si>
  <si>
    <t>#664228</t>
  </si>
  <si>
    <t>Vanilla</t>
  </si>
  <si>
    <t>Vanilla ice</t>
  </si>
  <si>
    <t>#F38FA9</t>
  </si>
  <si>
    <t>Vegas gold</t>
  </si>
  <si>
    <t>#C5B358</t>
  </si>
  <si>
    <t>Venetian red</t>
  </si>
  <si>
    <t>#C80815</t>
  </si>
  <si>
    <t>Verdigris</t>
  </si>
  <si>
    <t>#43B3AE</t>
  </si>
  <si>
    <t>Vermilion</t>
  </si>
  <si>
    <t>#D9381E</t>
  </si>
  <si>
    <t>Veronica</t>
  </si>
  <si>
    <t>Very light azure</t>
  </si>
  <si>
    <t>#74BBFB</t>
  </si>
  <si>
    <t>Very light blue</t>
  </si>
  <si>
    <t>#6666FF</t>
  </si>
  <si>
    <t>Very light malachite green</t>
  </si>
  <si>
    <t>#64E986</t>
  </si>
  <si>
    <t>Very light tangelo</t>
  </si>
  <si>
    <t>#FFB077</t>
  </si>
  <si>
    <t>Very pale orange</t>
  </si>
  <si>
    <t>#FFDFBF</t>
  </si>
  <si>
    <t>Very pale yellow</t>
  </si>
  <si>
    <t>#FFFFBF</t>
  </si>
  <si>
    <t>Violet</t>
  </si>
  <si>
    <t>Violet (color wheel)</t>
  </si>
  <si>
    <t>#7F00FF</t>
  </si>
  <si>
    <t>Violet (RYB)</t>
  </si>
  <si>
    <t>#8601AF</t>
  </si>
  <si>
    <t>Violet (web)</t>
  </si>
  <si>
    <t>Violet-blue</t>
  </si>
  <si>
    <t>#324AB2</t>
  </si>
  <si>
    <t>Violet-red</t>
  </si>
  <si>
    <t>#F75394</t>
  </si>
  <si>
    <t>Viridian</t>
  </si>
  <si>
    <t>Viridian green</t>
  </si>
  <si>
    <t>#009698</t>
  </si>
  <si>
    <t>Vista blue</t>
  </si>
  <si>
    <t>#7C9ED9</t>
  </si>
  <si>
    <t>Vivid amber</t>
  </si>
  <si>
    <t>#CC9900</t>
  </si>
  <si>
    <t>Vivid auburn</t>
  </si>
  <si>
    <t>#922724</t>
  </si>
  <si>
    <t>Vivid burgundy</t>
  </si>
  <si>
    <t>#9F1D35</t>
  </si>
  <si>
    <t>Vivid cerise</t>
  </si>
  <si>
    <t>#DA1D81</t>
  </si>
  <si>
    <t>Vivid cerulean</t>
  </si>
  <si>
    <t>#00AAEE</t>
  </si>
  <si>
    <t>Vivid crimson</t>
  </si>
  <si>
    <t>#CC0033</t>
  </si>
  <si>
    <t>Vivid gamboge</t>
  </si>
  <si>
    <t>#FF9900</t>
  </si>
  <si>
    <t>Vivid lime green</t>
  </si>
  <si>
    <t>#A6D608</t>
  </si>
  <si>
    <t>Vivid malachite</t>
  </si>
  <si>
    <t>#00CC33</t>
  </si>
  <si>
    <t>Vivid mulberry</t>
  </si>
  <si>
    <t>#B80CE3</t>
  </si>
  <si>
    <t>Vivid orange</t>
  </si>
  <si>
    <t>#FF5F00</t>
  </si>
  <si>
    <t>Vivid orange peel</t>
  </si>
  <si>
    <t>#FFA000</t>
  </si>
  <si>
    <t>Vivid orchid</t>
  </si>
  <si>
    <t>#CC00FF</t>
  </si>
  <si>
    <t>Vivid raspberry</t>
  </si>
  <si>
    <t>#FF006C</t>
  </si>
  <si>
    <t>Vivid red</t>
  </si>
  <si>
    <t>#F70D1A</t>
  </si>
  <si>
    <t>Vivid red-tangelo</t>
  </si>
  <si>
    <t>#DF6124</t>
  </si>
  <si>
    <t>Vivid sky blue</t>
  </si>
  <si>
    <t>#00CCFF</t>
  </si>
  <si>
    <t>Vivid tangelo</t>
  </si>
  <si>
    <t>#F07427</t>
  </si>
  <si>
    <t>Vivid tangerine</t>
  </si>
  <si>
    <t>#FFA089</t>
  </si>
  <si>
    <t>Vivid vermilion</t>
  </si>
  <si>
    <t>#E56024</t>
  </si>
  <si>
    <t>Vivid violet</t>
  </si>
  <si>
    <t>#9F00FF</t>
  </si>
  <si>
    <t>Vivid yellow</t>
  </si>
  <si>
    <t>#FFE302</t>
  </si>
  <si>
    <t>Volt</t>
  </si>
  <si>
    <t>#CEFF00</t>
  </si>
  <si>
    <t>Warm black</t>
  </si>
  <si>
    <t>#004242</t>
  </si>
  <si>
    <t>Waterspout</t>
  </si>
  <si>
    <t>#A4F4F9</t>
  </si>
  <si>
    <t>Weldon Blue</t>
  </si>
  <si>
    <t>#7C98AB</t>
  </si>
  <si>
    <t>Wenge</t>
  </si>
  <si>
    <t>#645452</t>
  </si>
  <si>
    <t>Wheat</t>
  </si>
  <si>
    <t>#F5DEB3</t>
  </si>
  <si>
    <t>White</t>
  </si>
  <si>
    <t>#FFFFFF</t>
  </si>
  <si>
    <t>White smoke</t>
  </si>
  <si>
    <t>Wild blue yonder</t>
  </si>
  <si>
    <t>#A2ADD0</t>
  </si>
  <si>
    <t>Wild orchid</t>
  </si>
  <si>
    <t>#D470A2</t>
  </si>
  <si>
    <t>Wild Strawberry</t>
  </si>
  <si>
    <t>#FF43A4</t>
  </si>
  <si>
    <t>Wild watermelon</t>
  </si>
  <si>
    <t>Willpower orange</t>
  </si>
  <si>
    <t>#FD5800</t>
  </si>
  <si>
    <t>Windsor tan</t>
  </si>
  <si>
    <t>#A75502</t>
  </si>
  <si>
    <t>Wine</t>
  </si>
  <si>
    <t>Wine dregs</t>
  </si>
  <si>
    <t>Winter Sky</t>
  </si>
  <si>
    <t>#FF007C</t>
  </si>
  <si>
    <t>Winter Wizard</t>
  </si>
  <si>
    <t>#A0E6FF</t>
  </si>
  <si>
    <t>Wintergreen Dream</t>
  </si>
  <si>
    <t>#56887D</t>
  </si>
  <si>
    <t>Wisteria</t>
  </si>
  <si>
    <t>#C9A0DC</t>
  </si>
  <si>
    <t>Wood brown</t>
  </si>
  <si>
    <t>Xanadu</t>
  </si>
  <si>
    <t>#738678</t>
  </si>
  <si>
    <t>Yale Blue</t>
  </si>
  <si>
    <t>#0F4D92</t>
  </si>
  <si>
    <t>Yankees blue</t>
  </si>
  <si>
    <t>#1C2841</t>
  </si>
  <si>
    <t>Yellow</t>
  </si>
  <si>
    <t>#FFFF00</t>
  </si>
  <si>
    <t>Yellow (Crayola)</t>
  </si>
  <si>
    <t>#FCE883</t>
  </si>
  <si>
    <t>Yellow (Munsell)</t>
  </si>
  <si>
    <t>#EFCC00</t>
  </si>
  <si>
    <t>Yellow (NCS)</t>
  </si>
  <si>
    <t>Yellow (Pantone)</t>
  </si>
  <si>
    <t>#FEDF00</t>
  </si>
  <si>
    <t>Yellow (process)</t>
  </si>
  <si>
    <t>Yellow (RYB)</t>
  </si>
  <si>
    <t>#FEFE33</t>
  </si>
  <si>
    <t>Yellow-green</t>
  </si>
  <si>
    <t>#9ACD32</t>
  </si>
  <si>
    <t>Yellow Orange</t>
  </si>
  <si>
    <t>#FFAE42</t>
  </si>
  <si>
    <t>Yellow rose</t>
  </si>
  <si>
    <t>#FFF000</t>
  </si>
  <si>
    <t>Yellow Sunshine</t>
  </si>
  <si>
    <t>Zaffre</t>
  </si>
  <si>
    <t>#0014A8</t>
  </si>
  <si>
    <t>Zinnwaldite brown</t>
  </si>
  <si>
    <t>#2C1608</t>
  </si>
  <si>
    <t>Zomp</t>
  </si>
  <si>
    <t>#39A78E</t>
  </si>
  <si>
    <t>background-color</t>
  </si>
  <si>
    <t>-bg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</si>
</sst>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0"/>
      <color rgb="FFD6D6D6"/>
      <name val="Arial Unicode MS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5B6D7B"/>
      </a:dk1>
      <a:lt1>
        <a:sysClr val="window" lastClr="2E2E2E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3:C104"/>
  <sheetViews>
    <sheetView topLeftCell="A10" workbookViewId="0">
      <selection activeCell="C3" sqref="C3"/>
    </sheetView>
  </sheetViews>
  <sheetFormatPr defaultRowHeight="15"/>
  <cols>
    <col min="2" max="2" width="32.140625" customWidth="1"/>
    <col min="3" max="3" width="34" customWidth="1"/>
  </cols>
  <sheetData>
    <row r="3" spans="2:3" ht="15.75">
      <c r="B3" s="1" t="s">
        <v>0</v>
      </c>
      <c r="C3" t="s">
        <v>1</v>
      </c>
    </row>
    <row r="4" spans="2:3" ht="15.75">
      <c r="B4" s="1" t="s">
        <v>2</v>
      </c>
      <c r="C4" t="s">
        <v>3</v>
      </c>
    </row>
    <row r="5" spans="2:3" ht="15.75">
      <c r="B5" s="1" t="s">
        <v>4</v>
      </c>
      <c r="C5" t="s">
        <v>5</v>
      </c>
    </row>
    <row r="6" spans="2:3" ht="15.75">
      <c r="B6" s="1" t="s">
        <v>6</v>
      </c>
      <c r="C6" t="s">
        <v>7</v>
      </c>
    </row>
    <row r="7" spans="2:3" ht="15.75">
      <c r="B7" s="1" t="s">
        <v>8</v>
      </c>
      <c r="C7" t="s">
        <v>9</v>
      </c>
    </row>
    <row r="8" spans="2:3" ht="15.75">
      <c r="B8" s="1" t="s">
        <v>10</v>
      </c>
      <c r="C8" t="s">
        <v>11</v>
      </c>
    </row>
    <row r="9" spans="2:3" ht="15.75">
      <c r="B9" s="1" t="s">
        <v>12</v>
      </c>
      <c r="C9" t="s">
        <v>13</v>
      </c>
    </row>
    <row r="10" spans="2:3" ht="15.75">
      <c r="B10" s="1" t="s">
        <v>14</v>
      </c>
      <c r="C10" t="s">
        <v>15</v>
      </c>
    </row>
    <row r="11" spans="2:3" ht="15.75">
      <c r="B11" s="1" t="s">
        <v>16</v>
      </c>
      <c r="C11" t="s">
        <v>17</v>
      </c>
    </row>
    <row r="12" spans="2:3" ht="15.75">
      <c r="B12" s="1" t="s">
        <v>18</v>
      </c>
      <c r="C12" t="s">
        <v>19</v>
      </c>
    </row>
    <row r="13" spans="2:3" ht="15.75">
      <c r="B13" s="1" t="s">
        <v>20</v>
      </c>
      <c r="C13" t="s">
        <v>21</v>
      </c>
    </row>
    <row r="14" spans="2:3" ht="15.75">
      <c r="B14" s="1" t="s">
        <v>22</v>
      </c>
      <c r="C14" t="s">
        <v>23</v>
      </c>
    </row>
    <row r="15" spans="2:3" ht="15.75">
      <c r="B15" s="1" t="s">
        <v>24</v>
      </c>
      <c r="C15" t="s">
        <v>25</v>
      </c>
    </row>
    <row r="16" spans="2:3" ht="15.75">
      <c r="B16" s="1" t="s">
        <v>26</v>
      </c>
      <c r="C16" t="s">
        <v>27</v>
      </c>
    </row>
    <row r="17" spans="2:3" ht="15.75">
      <c r="B17" s="1" t="s">
        <v>28</v>
      </c>
      <c r="C17" t="s">
        <v>29</v>
      </c>
    </row>
    <row r="18" spans="2:3" ht="15.75">
      <c r="B18" s="1" t="s">
        <v>30</v>
      </c>
      <c r="C18" t="s">
        <v>31</v>
      </c>
    </row>
    <row r="19" spans="2:3" ht="15.75">
      <c r="B19" s="1" t="s">
        <v>32</v>
      </c>
      <c r="C19" t="s">
        <v>33</v>
      </c>
    </row>
    <row r="20" spans="2:3" ht="15.75">
      <c r="B20" s="1" t="s">
        <v>34</v>
      </c>
      <c r="C20" t="s">
        <v>35</v>
      </c>
    </row>
    <row r="21" spans="2:3" ht="15.75">
      <c r="B21" s="1" t="s">
        <v>36</v>
      </c>
      <c r="C21" t="s">
        <v>37</v>
      </c>
    </row>
    <row r="22" spans="2:3" ht="15.75">
      <c r="B22" s="1" t="s">
        <v>38</v>
      </c>
      <c r="C22" t="s">
        <v>39</v>
      </c>
    </row>
    <row r="23" spans="2:3" ht="15.75">
      <c r="B23" s="1" t="s">
        <v>40</v>
      </c>
      <c r="C23" t="s">
        <v>41</v>
      </c>
    </row>
    <row r="24" spans="2:3" ht="15.75">
      <c r="B24" s="1" t="s">
        <v>42</v>
      </c>
      <c r="C24" t="s">
        <v>43</v>
      </c>
    </row>
    <row r="25" spans="2:3" ht="15.75">
      <c r="B25" s="1" t="s">
        <v>44</v>
      </c>
      <c r="C25" t="s">
        <v>45</v>
      </c>
    </row>
    <row r="26" spans="2:3" ht="15.75">
      <c r="B26" s="1" t="s">
        <v>46</v>
      </c>
      <c r="C26" t="s">
        <v>47</v>
      </c>
    </row>
    <row r="27" spans="2:3" ht="15.75">
      <c r="B27" s="1" t="s">
        <v>48</v>
      </c>
      <c r="C27" t="s">
        <v>49</v>
      </c>
    </row>
    <row r="28" spans="2:3" ht="15.75">
      <c r="B28" s="1" t="s">
        <v>50</v>
      </c>
      <c r="C28" t="s">
        <v>51</v>
      </c>
    </row>
    <row r="29" spans="2:3" ht="15.75">
      <c r="B29" s="1" t="s">
        <v>52</v>
      </c>
      <c r="C29" t="s">
        <v>53</v>
      </c>
    </row>
    <row r="30" spans="2:3" ht="15.75">
      <c r="B30" s="1" t="s">
        <v>54</v>
      </c>
      <c r="C30" t="s">
        <v>55</v>
      </c>
    </row>
    <row r="31" spans="2:3" ht="15.75">
      <c r="B31" s="1" t="s">
        <v>56</v>
      </c>
      <c r="C31" t="s">
        <v>57</v>
      </c>
    </row>
    <row r="32" spans="2:3" ht="15.75">
      <c r="B32" s="1" t="s">
        <v>58</v>
      </c>
      <c r="C32" t="s">
        <v>59</v>
      </c>
    </row>
    <row r="33" spans="2:3" ht="15.75">
      <c r="B33" s="1" t="s">
        <v>60</v>
      </c>
      <c r="C33" t="s">
        <v>61</v>
      </c>
    </row>
    <row r="34" spans="2:3" ht="15.75">
      <c r="B34" s="1" t="s">
        <v>62</v>
      </c>
      <c r="C34" t="s">
        <v>63</v>
      </c>
    </row>
    <row r="35" spans="2:3" ht="15.75">
      <c r="B35" s="1" t="s">
        <v>64</v>
      </c>
      <c r="C35" t="s">
        <v>65</v>
      </c>
    </row>
    <row r="36" spans="2:3" ht="15.75">
      <c r="B36" s="1" t="s">
        <v>66</v>
      </c>
      <c r="C36" t="s">
        <v>67</v>
      </c>
    </row>
    <row r="37" spans="2:3" ht="15.75">
      <c r="B37" s="1" t="s">
        <v>68</v>
      </c>
      <c r="C37" t="s">
        <v>69</v>
      </c>
    </row>
    <row r="38" spans="2:3" ht="15.75">
      <c r="B38" s="1" t="s">
        <v>70</v>
      </c>
      <c r="C38" t="s">
        <v>71</v>
      </c>
    </row>
    <row r="39" spans="2:3" ht="15.75">
      <c r="B39" s="1" t="s">
        <v>72</v>
      </c>
      <c r="C39" t="s">
        <v>73</v>
      </c>
    </row>
    <row r="40" spans="2:3" ht="15.75">
      <c r="B40" s="1" t="s">
        <v>74</v>
      </c>
      <c r="C40" t="s">
        <v>75</v>
      </c>
    </row>
    <row r="41" spans="2:3" ht="15.75">
      <c r="B41" s="1" t="s">
        <v>76</v>
      </c>
      <c r="C41" t="s">
        <v>77</v>
      </c>
    </row>
    <row r="42" spans="2:3" ht="15.75">
      <c r="B42" s="1" t="s">
        <v>78</v>
      </c>
      <c r="C42" t="s">
        <v>79</v>
      </c>
    </row>
    <row r="43" spans="2:3" ht="15.75">
      <c r="B43" s="1" t="s">
        <v>80</v>
      </c>
      <c r="C43" t="s">
        <v>81</v>
      </c>
    </row>
    <row r="44" spans="2:3" ht="15.75">
      <c r="B44" s="1" t="s">
        <v>82</v>
      </c>
      <c r="C44" t="s">
        <v>83</v>
      </c>
    </row>
    <row r="45" spans="2:3" ht="15.75">
      <c r="B45" s="1" t="s">
        <v>84</v>
      </c>
      <c r="C45" t="s">
        <v>85</v>
      </c>
    </row>
    <row r="46" spans="2:3" ht="15.75">
      <c r="B46" s="1" t="s">
        <v>86</v>
      </c>
      <c r="C46" t="s">
        <v>87</v>
      </c>
    </row>
    <row r="47" spans="2:3" ht="15.75">
      <c r="B47" s="1" t="s">
        <v>88</v>
      </c>
      <c r="C47" t="s">
        <v>89</v>
      </c>
    </row>
    <row r="48" spans="2:3" ht="15.75">
      <c r="B48" s="1" t="s">
        <v>90</v>
      </c>
      <c r="C48" t="s">
        <v>91</v>
      </c>
    </row>
    <row r="49" spans="2:3" ht="15.75">
      <c r="B49" s="1" t="s">
        <v>92</v>
      </c>
      <c r="C49" t="s">
        <v>93</v>
      </c>
    </row>
    <row r="50" spans="2:3" ht="15.75">
      <c r="B50" s="1" t="s">
        <v>94</v>
      </c>
      <c r="C50" t="s">
        <v>95</v>
      </c>
    </row>
    <row r="51" spans="2:3" ht="15.75">
      <c r="B51" s="1" t="s">
        <v>96</v>
      </c>
      <c r="C51" t="s">
        <v>97</v>
      </c>
    </row>
    <row r="52" spans="2:3" ht="15.75">
      <c r="B52" s="1" t="s">
        <v>98</v>
      </c>
      <c r="C52" t="s">
        <v>99</v>
      </c>
    </row>
    <row r="53" spans="2:3" ht="15.75">
      <c r="B53" s="1" t="s">
        <v>100</v>
      </c>
      <c r="C53" t="s">
        <v>101</v>
      </c>
    </row>
    <row r="54" spans="2:3" ht="15.75">
      <c r="B54" s="1" t="s">
        <v>102</v>
      </c>
      <c r="C54" t="s">
        <v>103</v>
      </c>
    </row>
    <row r="55" spans="2:3" ht="15.75">
      <c r="B55" s="1" t="s">
        <v>104</v>
      </c>
      <c r="C55" t="s">
        <v>105</v>
      </c>
    </row>
    <row r="56" spans="2:3" ht="15.75">
      <c r="B56" s="1" t="s">
        <v>106</v>
      </c>
      <c r="C56" t="s">
        <v>107</v>
      </c>
    </row>
    <row r="57" spans="2:3" ht="15.75">
      <c r="B57" s="1" t="s">
        <v>108</v>
      </c>
      <c r="C57" t="s">
        <v>109</v>
      </c>
    </row>
    <row r="58" spans="2:3" ht="15.75">
      <c r="B58" s="1" t="s">
        <v>110</v>
      </c>
      <c r="C58" t="s">
        <v>111</v>
      </c>
    </row>
    <row r="59" spans="2:3" ht="15.75">
      <c r="B59" s="1" t="s">
        <v>112</v>
      </c>
      <c r="C59" t="s">
        <v>113</v>
      </c>
    </row>
    <row r="60" spans="2:3" ht="15.75">
      <c r="B60" s="1" t="s">
        <v>114</v>
      </c>
      <c r="C60" t="s">
        <v>115</v>
      </c>
    </row>
    <row r="61" spans="2:3" ht="15.75">
      <c r="B61" s="1" t="s">
        <v>116</v>
      </c>
      <c r="C61" t="s">
        <v>117</v>
      </c>
    </row>
    <row r="62" spans="2:3" ht="15.75">
      <c r="B62" s="1" t="s">
        <v>118</v>
      </c>
      <c r="C62" t="s">
        <v>119</v>
      </c>
    </row>
    <row r="63" spans="2:3" ht="15.75">
      <c r="B63" s="1" t="s">
        <v>120</v>
      </c>
      <c r="C63" t="s">
        <v>121</v>
      </c>
    </row>
    <row r="64" spans="2:3" ht="15.75">
      <c r="B64" s="1" t="s">
        <v>122</v>
      </c>
      <c r="C64" t="s">
        <v>123</v>
      </c>
    </row>
    <row r="65" spans="2:3" ht="15.75">
      <c r="B65" s="1" t="s">
        <v>124</v>
      </c>
      <c r="C65" t="s">
        <v>125</v>
      </c>
    </row>
    <row r="66" spans="2:3" ht="15.75">
      <c r="B66" s="1" t="s">
        <v>126</v>
      </c>
      <c r="C66" t="s">
        <v>127</v>
      </c>
    </row>
    <row r="67" spans="2:3" ht="15.75">
      <c r="B67" s="1" t="s">
        <v>128</v>
      </c>
      <c r="C67" t="s">
        <v>129</v>
      </c>
    </row>
    <row r="68" spans="2:3" ht="15.75">
      <c r="B68" s="1" t="s">
        <v>130</v>
      </c>
      <c r="C68" t="s">
        <v>131</v>
      </c>
    </row>
    <row r="69" spans="2:3" ht="15.75">
      <c r="B69" s="1" t="s">
        <v>132</v>
      </c>
      <c r="C69" t="s">
        <v>133</v>
      </c>
    </row>
    <row r="70" spans="2:3" ht="15.75">
      <c r="B70" s="1" t="s">
        <v>134</v>
      </c>
      <c r="C70" t="s">
        <v>135</v>
      </c>
    </row>
    <row r="71" spans="2:3" ht="15.75">
      <c r="B71" s="1" t="s">
        <v>136</v>
      </c>
      <c r="C71" t="s">
        <v>137</v>
      </c>
    </row>
    <row r="72" spans="2:3" ht="15.75">
      <c r="B72" s="1" t="s">
        <v>138</v>
      </c>
      <c r="C72" t="s">
        <v>139</v>
      </c>
    </row>
    <row r="73" spans="2:3" ht="15.75">
      <c r="B73" s="1" t="s">
        <v>140</v>
      </c>
      <c r="C73" t="s">
        <v>141</v>
      </c>
    </row>
    <row r="74" spans="2:3" ht="15.75">
      <c r="B74" s="1" t="s">
        <v>142</v>
      </c>
      <c r="C74" t="s">
        <v>143</v>
      </c>
    </row>
    <row r="75" spans="2:3" ht="15.75">
      <c r="B75" s="1" t="s">
        <v>144</v>
      </c>
      <c r="C75" t="s">
        <v>145</v>
      </c>
    </row>
    <row r="76" spans="2:3" ht="15.75">
      <c r="B76" s="1" t="s">
        <v>146</v>
      </c>
      <c r="C76" t="s">
        <v>147</v>
      </c>
    </row>
    <row r="77" spans="2:3" ht="15.75">
      <c r="B77" s="1" t="s">
        <v>148</v>
      </c>
      <c r="C77" t="s">
        <v>149</v>
      </c>
    </row>
    <row r="78" spans="2:3" ht="15.75">
      <c r="B78" s="1" t="s">
        <v>150</v>
      </c>
      <c r="C78" t="s">
        <v>151</v>
      </c>
    </row>
    <row r="79" spans="2:3" ht="15.75">
      <c r="B79" s="1" t="s">
        <v>152</v>
      </c>
      <c r="C79" t="s">
        <v>153</v>
      </c>
    </row>
    <row r="80" spans="2:3" ht="15.75">
      <c r="B80" s="1" t="s">
        <v>154</v>
      </c>
      <c r="C80" t="s">
        <v>155</v>
      </c>
    </row>
    <row r="81" spans="2:3" ht="15.75">
      <c r="B81" s="1" t="s">
        <v>156</v>
      </c>
      <c r="C81" t="s">
        <v>157</v>
      </c>
    </row>
    <row r="82" spans="2:3" ht="15.75">
      <c r="B82" s="1" t="s">
        <v>158</v>
      </c>
      <c r="C82" t="s">
        <v>159</v>
      </c>
    </row>
    <row r="83" spans="2:3" ht="15.75">
      <c r="B83" s="1" t="s">
        <v>160</v>
      </c>
      <c r="C83" t="s">
        <v>161</v>
      </c>
    </row>
    <row r="84" spans="2:3" ht="15.75">
      <c r="B84" s="1" t="s">
        <v>162</v>
      </c>
      <c r="C84" t="s">
        <v>163</v>
      </c>
    </row>
    <row r="85" spans="2:3" ht="15.75">
      <c r="B85" s="1" t="s">
        <v>164</v>
      </c>
      <c r="C85" t="s">
        <v>165</v>
      </c>
    </row>
    <row r="86" spans="2:3" ht="15.75">
      <c r="B86" s="1" t="s">
        <v>166</v>
      </c>
      <c r="C86" t="s">
        <v>167</v>
      </c>
    </row>
    <row r="87" spans="2:3" ht="15.75">
      <c r="B87" s="1" t="s">
        <v>168</v>
      </c>
      <c r="C87" t="s">
        <v>169</v>
      </c>
    </row>
    <row r="88" spans="2:3" ht="15.75">
      <c r="B88" s="1" t="s">
        <v>170</v>
      </c>
      <c r="C88" t="s">
        <v>171</v>
      </c>
    </row>
    <row r="89" spans="2:3" ht="15.75">
      <c r="B89" s="1" t="s">
        <v>172</v>
      </c>
      <c r="C89" t="s">
        <v>173</v>
      </c>
    </row>
    <row r="90" spans="2:3" ht="15.75">
      <c r="B90" s="1" t="s">
        <v>174</v>
      </c>
      <c r="C90" t="s">
        <v>175</v>
      </c>
    </row>
    <row r="91" spans="2:3" ht="15.75">
      <c r="B91" s="1" t="s">
        <v>176</v>
      </c>
      <c r="C91" t="s">
        <v>177</v>
      </c>
    </row>
    <row r="92" spans="2:3" ht="15.75">
      <c r="B92" s="1" t="s">
        <v>178</v>
      </c>
      <c r="C92" t="s">
        <v>179</v>
      </c>
    </row>
    <row r="93" spans="2:3" ht="15.75">
      <c r="B93" s="1" t="s">
        <v>180</v>
      </c>
      <c r="C93" t="s">
        <v>181</v>
      </c>
    </row>
    <row r="94" spans="2:3" ht="15.75">
      <c r="B94" s="1" t="s">
        <v>182</v>
      </c>
      <c r="C94" t="s">
        <v>183</v>
      </c>
    </row>
    <row r="95" spans="2:3" ht="15.75">
      <c r="B95" s="1" t="s">
        <v>184</v>
      </c>
      <c r="C95" t="s">
        <v>185</v>
      </c>
    </row>
    <row r="96" spans="2:3" ht="15.75">
      <c r="B96" s="1" t="s">
        <v>186</v>
      </c>
      <c r="C96" t="s">
        <v>187</v>
      </c>
    </row>
    <row r="97" spans="2:3" ht="15.75">
      <c r="B97" s="1" t="s">
        <v>188</v>
      </c>
      <c r="C97" t="s">
        <v>189</v>
      </c>
    </row>
    <row r="98" spans="2:3" ht="15.75">
      <c r="B98" s="1" t="s">
        <v>190</v>
      </c>
      <c r="C98" t="s">
        <v>191</v>
      </c>
    </row>
    <row r="99" spans="2:3" ht="15.75">
      <c r="B99" s="1" t="s">
        <v>192</v>
      </c>
      <c r="C99" t="s">
        <v>193</v>
      </c>
    </row>
    <row r="100" spans="2:3" ht="15.75">
      <c r="B100" s="1" t="s">
        <v>194</v>
      </c>
      <c r="C100" t="s">
        <v>195</v>
      </c>
    </row>
    <row r="101" spans="2:3" ht="15.75">
      <c r="B101" s="1" t="s">
        <v>196</v>
      </c>
      <c r="C101" t="s">
        <v>197</v>
      </c>
    </row>
    <row r="102" spans="2:3" ht="15.75">
      <c r="B102" s="1" t="s">
        <v>198</v>
      </c>
      <c r="C102" t="s">
        <v>199</v>
      </c>
    </row>
    <row r="103" spans="2:3" ht="15.75">
      <c r="B103" s="1" t="s">
        <v>200</v>
      </c>
      <c r="C103" t="s">
        <v>201</v>
      </c>
    </row>
    <row r="104" spans="2:3" ht="15.75">
      <c r="B104" s="1" t="s">
        <v>202</v>
      </c>
      <c r="C104" t="s">
        <v>203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P1258"/>
  <sheetViews>
    <sheetView tabSelected="1" topLeftCell="A1220" workbookViewId="0">
      <selection activeCell="P3" sqref="P3:P1258"/>
    </sheetView>
  </sheetViews>
  <sheetFormatPr defaultRowHeight="15"/>
  <cols>
    <col min="2" max="2" width="31.28515625" customWidth="1"/>
    <col min="7" max="7" width="20.85546875" customWidth="1"/>
  </cols>
  <sheetData>
    <row r="1" spans="2:16">
      <c r="P1" s="2" t="s">
        <v>2569</v>
      </c>
    </row>
    <row r="2" spans="2:16">
      <c r="P2" t="s">
        <v>2568</v>
      </c>
    </row>
    <row r="3" spans="2:16" ht="15.75">
      <c r="B3" s="1" t="s">
        <v>204</v>
      </c>
      <c r="C3" t="s">
        <v>205</v>
      </c>
      <c r="D3">
        <v>0</v>
      </c>
      <c r="E3">
        <v>71.400000000000006</v>
      </c>
      <c r="F3">
        <v>0</v>
      </c>
      <c r="G3" t="str">
        <f>SUBSTITUTE(PROPER(AlphaNumericOnly(B3))," ","")</f>
        <v>AbsoluteZero</v>
      </c>
      <c r="H3" t="str">
        <f>RIGHT(C3,6)</f>
        <v>0048BA</v>
      </c>
      <c r="I3" t="str">
        <f>MID($H3,1,2)</f>
        <v>00</v>
      </c>
      <c r="J3" t="str">
        <f>MID($H3,3,2)</f>
        <v>48</v>
      </c>
      <c r="K3" t="str">
        <f>MID($H3,5,2)</f>
        <v>BA</v>
      </c>
      <c r="L3">
        <f>HEX2DEC(I3)</f>
        <v>0</v>
      </c>
      <c r="M3">
        <f>HEX2DEC(J3)</f>
        <v>72</v>
      </c>
      <c r="N3">
        <f>HEX2DEC(K3)</f>
        <v>186</v>
      </c>
      <c r="P3" t="str">
        <f>"."&amp;G3&amp;$P$1&amp;"{"&amp;$P$2&amp;":#"&amp;H3&amp;";}"</f>
        <v>.AbsoluteZero-bg{background-color:#0048BA;}</v>
      </c>
    </row>
    <row r="4" spans="2:16" ht="15.75">
      <c r="B4" s="1" t="s">
        <v>206</v>
      </c>
      <c r="C4" t="s">
        <v>207</v>
      </c>
      <c r="D4">
        <v>175.95</v>
      </c>
      <c r="E4">
        <v>191.25</v>
      </c>
      <c r="F4">
        <v>175.95</v>
      </c>
      <c r="G4" t="str">
        <f t="shared" ref="G4:G67" si="0">SUBSTITUTE(PROPER(AlphaNumericOnly(B4))," ","")</f>
        <v>AcidGreen</v>
      </c>
      <c r="H4" t="str">
        <f t="shared" ref="H4:H67" si="1">RIGHT(C4,6)</f>
        <v>B0BF1A</v>
      </c>
      <c r="I4" t="str">
        <f t="shared" ref="I4:I67" si="2">MID($H4,1,2)</f>
        <v>B0</v>
      </c>
      <c r="J4" t="str">
        <f t="shared" ref="J4:J67" si="3">MID($H4,3,2)</f>
        <v>BF</v>
      </c>
      <c r="K4" t="str">
        <f t="shared" ref="K4:K67" si="4">MID($H4,5,2)</f>
        <v>1A</v>
      </c>
      <c r="L4">
        <f t="shared" ref="L4:L67" si="5">HEX2DEC(I4)</f>
        <v>176</v>
      </c>
      <c r="M4">
        <f t="shared" ref="M4:M67" si="6">HEX2DEC(J4)</f>
        <v>191</v>
      </c>
      <c r="N4">
        <f t="shared" ref="N4:N67" si="7">HEX2DEC(K4)</f>
        <v>26</v>
      </c>
      <c r="P4" t="str">
        <f t="shared" ref="P4:P67" si="8">"."&amp;G4&amp;$P$1&amp;"{"&amp;$P$2&amp;":#"&amp;H4&amp;";}"</f>
        <v>.AcidGreen-bg{background-color:#B0BF1A;}</v>
      </c>
    </row>
    <row r="5" spans="2:16" ht="15.75">
      <c r="B5" s="1" t="s">
        <v>208</v>
      </c>
      <c r="C5" t="s">
        <v>209</v>
      </c>
      <c r="D5">
        <v>124.95</v>
      </c>
      <c r="E5">
        <v>186.15</v>
      </c>
      <c r="F5">
        <v>124.95</v>
      </c>
      <c r="G5" t="str">
        <f t="shared" si="0"/>
        <v>Aero</v>
      </c>
      <c r="H5" t="str">
        <f t="shared" si="1"/>
        <v>7CB9E8</v>
      </c>
      <c r="I5" t="str">
        <f t="shared" si="2"/>
        <v>7C</v>
      </c>
      <c r="J5" t="str">
        <f t="shared" si="3"/>
        <v>B9</v>
      </c>
      <c r="K5" t="str">
        <f t="shared" si="4"/>
        <v>E8</v>
      </c>
      <c r="L5">
        <f t="shared" si="5"/>
        <v>124</v>
      </c>
      <c r="M5">
        <f t="shared" si="6"/>
        <v>185</v>
      </c>
      <c r="N5">
        <f t="shared" si="7"/>
        <v>232</v>
      </c>
      <c r="P5" t="str">
        <f t="shared" si="8"/>
        <v>.Aero-bg{background-color:#7CB9E8;}</v>
      </c>
    </row>
    <row r="6" spans="2:16" ht="15.75">
      <c r="B6" s="1" t="s">
        <v>210</v>
      </c>
      <c r="C6" t="s">
        <v>211</v>
      </c>
      <c r="D6">
        <v>201.45</v>
      </c>
      <c r="E6">
        <v>255</v>
      </c>
      <c r="F6">
        <v>201.45</v>
      </c>
      <c r="G6" t="str">
        <f t="shared" si="0"/>
        <v>AeroBlue</v>
      </c>
      <c r="H6" t="str">
        <f t="shared" si="1"/>
        <v>C9FFE5</v>
      </c>
      <c r="I6" t="str">
        <f t="shared" si="2"/>
        <v>C9</v>
      </c>
      <c r="J6" t="str">
        <f t="shared" si="3"/>
        <v>FF</v>
      </c>
      <c r="K6" t="str">
        <f t="shared" si="4"/>
        <v>E5</v>
      </c>
      <c r="L6">
        <f t="shared" si="5"/>
        <v>201</v>
      </c>
      <c r="M6">
        <f t="shared" si="6"/>
        <v>255</v>
      </c>
      <c r="N6">
        <f t="shared" si="7"/>
        <v>229</v>
      </c>
      <c r="P6" t="str">
        <f t="shared" si="8"/>
        <v>.AeroBlue-bg{background-color:#C9FFE5;}</v>
      </c>
    </row>
    <row r="7" spans="2:16" ht="15.75">
      <c r="B7" s="1" t="s">
        <v>212</v>
      </c>
      <c r="C7" t="s">
        <v>213</v>
      </c>
      <c r="D7">
        <v>178.5</v>
      </c>
      <c r="E7">
        <v>132.6</v>
      </c>
      <c r="F7">
        <v>178.5</v>
      </c>
      <c r="G7" t="str">
        <f t="shared" si="0"/>
        <v>AfricanViolet</v>
      </c>
      <c r="H7" t="str">
        <f t="shared" si="1"/>
        <v>B284BE</v>
      </c>
      <c r="I7" t="str">
        <f t="shared" si="2"/>
        <v>B2</v>
      </c>
      <c r="J7" t="str">
        <f t="shared" si="3"/>
        <v>84</v>
      </c>
      <c r="K7" t="str">
        <f t="shared" si="4"/>
        <v>BE</v>
      </c>
      <c r="L7">
        <f t="shared" si="5"/>
        <v>178</v>
      </c>
      <c r="M7">
        <f t="shared" si="6"/>
        <v>132</v>
      </c>
      <c r="N7">
        <f t="shared" si="7"/>
        <v>190</v>
      </c>
      <c r="P7" t="str">
        <f t="shared" si="8"/>
        <v>.AfricanViolet-bg{background-color:#B284BE;}</v>
      </c>
    </row>
    <row r="8" spans="2:16" ht="15.75">
      <c r="B8" s="1" t="s">
        <v>214</v>
      </c>
      <c r="C8" t="s">
        <v>215</v>
      </c>
      <c r="D8">
        <v>91.8</v>
      </c>
      <c r="E8">
        <v>137.69999999999999</v>
      </c>
      <c r="F8">
        <v>91.8</v>
      </c>
      <c r="G8" t="str">
        <f t="shared" si="0"/>
        <v>AirForceBlueRaf</v>
      </c>
      <c r="H8" t="str">
        <f t="shared" si="1"/>
        <v>5D8AA8</v>
      </c>
      <c r="I8" t="str">
        <f t="shared" si="2"/>
        <v>5D</v>
      </c>
      <c r="J8" t="str">
        <f t="shared" si="3"/>
        <v>8A</v>
      </c>
      <c r="K8" t="str">
        <f t="shared" si="4"/>
        <v>A8</v>
      </c>
      <c r="L8">
        <f t="shared" si="5"/>
        <v>93</v>
      </c>
      <c r="M8">
        <f t="shared" si="6"/>
        <v>138</v>
      </c>
      <c r="N8">
        <f t="shared" si="7"/>
        <v>168</v>
      </c>
      <c r="P8" t="str">
        <f t="shared" si="8"/>
        <v>.AirForceBlueRaf-bg{background-color:#5D8AA8;}</v>
      </c>
    </row>
    <row r="9" spans="2:16" ht="15.75">
      <c r="B9" s="1" t="s">
        <v>216</v>
      </c>
      <c r="C9" t="s">
        <v>217</v>
      </c>
      <c r="D9">
        <v>0</v>
      </c>
      <c r="E9">
        <v>48.45</v>
      </c>
      <c r="F9">
        <v>0</v>
      </c>
      <c r="G9" t="str">
        <f t="shared" si="0"/>
        <v>AirForceBlueUsaf</v>
      </c>
      <c r="H9" t="str">
        <f t="shared" si="1"/>
        <v>00308F</v>
      </c>
      <c r="I9" t="str">
        <f t="shared" si="2"/>
        <v>00</v>
      </c>
      <c r="J9" t="str">
        <f t="shared" si="3"/>
        <v>30</v>
      </c>
      <c r="K9" t="str">
        <f t="shared" si="4"/>
        <v>8F</v>
      </c>
      <c r="L9">
        <f t="shared" si="5"/>
        <v>0</v>
      </c>
      <c r="M9">
        <f t="shared" si="6"/>
        <v>48</v>
      </c>
      <c r="N9">
        <f t="shared" si="7"/>
        <v>143</v>
      </c>
      <c r="P9" t="str">
        <f t="shared" si="8"/>
        <v>.AirForceBlueUsaf-bg{background-color:#00308F;}</v>
      </c>
    </row>
    <row r="10" spans="2:16" ht="15.75">
      <c r="B10" s="1" t="s">
        <v>218</v>
      </c>
      <c r="C10" t="s">
        <v>219</v>
      </c>
      <c r="D10">
        <v>114.75</v>
      </c>
      <c r="E10">
        <v>160.65</v>
      </c>
      <c r="F10">
        <v>114.75</v>
      </c>
      <c r="G10" t="str">
        <f t="shared" si="0"/>
        <v>AirSuperiorityBlue</v>
      </c>
      <c r="H10" t="str">
        <f t="shared" si="1"/>
        <v>72A0C1</v>
      </c>
      <c r="I10" t="str">
        <f t="shared" si="2"/>
        <v>72</v>
      </c>
      <c r="J10" t="str">
        <f t="shared" si="3"/>
        <v>A0</v>
      </c>
      <c r="K10" t="str">
        <f t="shared" si="4"/>
        <v>C1</v>
      </c>
      <c r="L10">
        <f t="shared" si="5"/>
        <v>114</v>
      </c>
      <c r="M10">
        <f t="shared" si="6"/>
        <v>160</v>
      </c>
      <c r="N10">
        <f t="shared" si="7"/>
        <v>193</v>
      </c>
      <c r="P10" t="str">
        <f t="shared" si="8"/>
        <v>.AirSuperiorityBlue-bg{background-color:#72A0C1;}</v>
      </c>
    </row>
    <row r="11" spans="2:16" ht="15.75">
      <c r="B11" s="1" t="s">
        <v>220</v>
      </c>
      <c r="C11" t="s">
        <v>221</v>
      </c>
      <c r="D11">
        <v>175.95</v>
      </c>
      <c r="E11">
        <v>0</v>
      </c>
      <c r="F11">
        <v>175.95</v>
      </c>
      <c r="G11" t="str">
        <f t="shared" si="0"/>
        <v>AlabamaCrimson</v>
      </c>
      <c r="H11" t="str">
        <f t="shared" si="1"/>
        <v>AF002A</v>
      </c>
      <c r="I11" t="str">
        <f t="shared" si="2"/>
        <v>AF</v>
      </c>
      <c r="J11" t="str">
        <f t="shared" si="3"/>
        <v>00</v>
      </c>
      <c r="K11" t="str">
        <f t="shared" si="4"/>
        <v>2A</v>
      </c>
      <c r="L11">
        <f t="shared" si="5"/>
        <v>175</v>
      </c>
      <c r="M11">
        <f t="shared" si="6"/>
        <v>0</v>
      </c>
      <c r="N11">
        <f t="shared" si="7"/>
        <v>42</v>
      </c>
      <c r="P11" t="str">
        <f t="shared" si="8"/>
        <v>.AlabamaCrimson-bg{background-color:#AF002A;}</v>
      </c>
    </row>
    <row r="12" spans="2:16" ht="15.75">
      <c r="B12" s="1" t="s">
        <v>222</v>
      </c>
      <c r="C12" t="s">
        <v>223</v>
      </c>
      <c r="D12">
        <v>239.7</v>
      </c>
      <c r="E12">
        <v>247.35</v>
      </c>
      <c r="F12">
        <v>239.7</v>
      </c>
      <c r="G12" t="str">
        <f t="shared" si="0"/>
        <v>AliceBlue</v>
      </c>
      <c r="H12" t="str">
        <f t="shared" si="1"/>
        <v>F0F8FF</v>
      </c>
      <c r="I12" t="str">
        <f t="shared" si="2"/>
        <v>F0</v>
      </c>
      <c r="J12" t="str">
        <f t="shared" si="3"/>
        <v>F8</v>
      </c>
      <c r="K12" t="str">
        <f t="shared" si="4"/>
        <v>FF</v>
      </c>
      <c r="L12">
        <f t="shared" si="5"/>
        <v>240</v>
      </c>
      <c r="M12">
        <f t="shared" si="6"/>
        <v>248</v>
      </c>
      <c r="N12">
        <f t="shared" si="7"/>
        <v>255</v>
      </c>
      <c r="P12" t="str">
        <f t="shared" si="8"/>
        <v>.AliceBlue-bg{background-color:#F0F8FF;}</v>
      </c>
    </row>
    <row r="13" spans="2:16" ht="15.75">
      <c r="B13" s="1" t="s">
        <v>224</v>
      </c>
      <c r="C13" t="s">
        <v>225</v>
      </c>
      <c r="D13">
        <v>132.6</v>
      </c>
      <c r="E13">
        <v>221.85</v>
      </c>
      <c r="F13">
        <v>132.6</v>
      </c>
      <c r="G13" t="str">
        <f t="shared" si="0"/>
        <v>AlienArmpit</v>
      </c>
      <c r="H13" t="str">
        <f t="shared" si="1"/>
        <v>84DE02</v>
      </c>
      <c r="I13" t="str">
        <f t="shared" si="2"/>
        <v>84</v>
      </c>
      <c r="J13" t="str">
        <f t="shared" si="3"/>
        <v>DE</v>
      </c>
      <c r="K13" t="str">
        <f t="shared" si="4"/>
        <v>02</v>
      </c>
      <c r="L13">
        <f t="shared" si="5"/>
        <v>132</v>
      </c>
      <c r="M13">
        <f t="shared" si="6"/>
        <v>222</v>
      </c>
      <c r="N13">
        <f t="shared" si="7"/>
        <v>2</v>
      </c>
      <c r="P13" t="str">
        <f t="shared" si="8"/>
        <v>.AlienArmpit-bg{background-color:#84DE02;}</v>
      </c>
    </row>
    <row r="14" spans="2:16" ht="15.75">
      <c r="B14" s="1" t="s">
        <v>226</v>
      </c>
      <c r="C14" t="s">
        <v>227</v>
      </c>
      <c r="D14">
        <v>226.95</v>
      </c>
      <c r="E14">
        <v>38.25</v>
      </c>
      <c r="F14">
        <v>226.95</v>
      </c>
      <c r="G14" t="str">
        <f t="shared" si="0"/>
        <v>AlizarinCrimson</v>
      </c>
      <c r="H14" t="str">
        <f t="shared" si="1"/>
        <v>E32636</v>
      </c>
      <c r="I14" t="str">
        <f t="shared" si="2"/>
        <v>E3</v>
      </c>
      <c r="J14" t="str">
        <f t="shared" si="3"/>
        <v>26</v>
      </c>
      <c r="K14" t="str">
        <f t="shared" si="4"/>
        <v>36</v>
      </c>
      <c r="L14">
        <f t="shared" si="5"/>
        <v>227</v>
      </c>
      <c r="M14">
        <f t="shared" si="6"/>
        <v>38</v>
      </c>
      <c r="N14">
        <f t="shared" si="7"/>
        <v>54</v>
      </c>
      <c r="P14" t="str">
        <f t="shared" si="8"/>
        <v>.AlizarinCrimson-bg{background-color:#E32636;}</v>
      </c>
    </row>
    <row r="15" spans="2:16" ht="15.75">
      <c r="B15" s="1" t="s">
        <v>228</v>
      </c>
      <c r="C15" t="s">
        <v>229</v>
      </c>
      <c r="D15">
        <v>196.35</v>
      </c>
      <c r="E15">
        <v>96.9</v>
      </c>
      <c r="F15">
        <v>196.35</v>
      </c>
      <c r="G15" t="str">
        <f t="shared" si="0"/>
        <v>AlloyOrange</v>
      </c>
      <c r="H15" t="str">
        <f t="shared" si="1"/>
        <v>C46210</v>
      </c>
      <c r="I15" t="str">
        <f t="shared" si="2"/>
        <v>C4</v>
      </c>
      <c r="J15" t="str">
        <f t="shared" si="3"/>
        <v>62</v>
      </c>
      <c r="K15" t="str">
        <f t="shared" si="4"/>
        <v>10</v>
      </c>
      <c r="L15">
        <f t="shared" si="5"/>
        <v>196</v>
      </c>
      <c r="M15">
        <f t="shared" si="6"/>
        <v>98</v>
      </c>
      <c r="N15">
        <f t="shared" si="7"/>
        <v>16</v>
      </c>
      <c r="P15" t="str">
        <f t="shared" si="8"/>
        <v>.AlloyOrange-bg{background-color:#C46210;}</v>
      </c>
    </row>
    <row r="16" spans="2:16" ht="15.75">
      <c r="B16" s="1" t="s">
        <v>230</v>
      </c>
      <c r="C16" t="s">
        <v>231</v>
      </c>
      <c r="D16">
        <v>239.7</v>
      </c>
      <c r="E16">
        <v>221.85</v>
      </c>
      <c r="F16">
        <v>239.7</v>
      </c>
      <c r="G16" t="str">
        <f t="shared" si="0"/>
        <v>Almond</v>
      </c>
      <c r="H16" t="str">
        <f t="shared" si="1"/>
        <v>EFDECD</v>
      </c>
      <c r="I16" t="str">
        <f t="shared" si="2"/>
        <v>EF</v>
      </c>
      <c r="J16" t="str">
        <f t="shared" si="3"/>
        <v>DE</v>
      </c>
      <c r="K16" t="str">
        <f t="shared" si="4"/>
        <v>CD</v>
      </c>
      <c r="L16">
        <f t="shared" si="5"/>
        <v>239</v>
      </c>
      <c r="M16">
        <f t="shared" si="6"/>
        <v>222</v>
      </c>
      <c r="N16">
        <f t="shared" si="7"/>
        <v>205</v>
      </c>
      <c r="P16" t="str">
        <f t="shared" si="8"/>
        <v>.Almond-bg{background-color:#EFDECD;}</v>
      </c>
    </row>
    <row r="17" spans="2:16" ht="15.75">
      <c r="B17" s="1" t="s">
        <v>232</v>
      </c>
      <c r="C17" t="s">
        <v>233</v>
      </c>
      <c r="D17">
        <v>229.5</v>
      </c>
      <c r="E17">
        <v>43.35</v>
      </c>
      <c r="F17">
        <v>229.5</v>
      </c>
      <c r="G17" t="str">
        <f t="shared" si="0"/>
        <v>Amaranth</v>
      </c>
      <c r="H17" t="str">
        <f t="shared" si="1"/>
        <v>E52B50</v>
      </c>
      <c r="I17" t="str">
        <f t="shared" si="2"/>
        <v>E5</v>
      </c>
      <c r="J17" t="str">
        <f t="shared" si="3"/>
        <v>2B</v>
      </c>
      <c r="K17" t="str">
        <f t="shared" si="4"/>
        <v>50</v>
      </c>
      <c r="L17">
        <f t="shared" si="5"/>
        <v>229</v>
      </c>
      <c r="M17">
        <f t="shared" si="6"/>
        <v>43</v>
      </c>
      <c r="N17">
        <f t="shared" si="7"/>
        <v>80</v>
      </c>
      <c r="P17" t="str">
        <f t="shared" si="8"/>
        <v>.Amaranth-bg{background-color:#E52B50;}</v>
      </c>
    </row>
    <row r="18" spans="2:16" ht="15.75">
      <c r="B18" s="1" t="s">
        <v>234</v>
      </c>
      <c r="C18" t="s">
        <v>235</v>
      </c>
      <c r="D18">
        <v>170.85</v>
      </c>
      <c r="E18">
        <v>38.25</v>
      </c>
      <c r="F18">
        <v>170.85</v>
      </c>
      <c r="G18" t="str">
        <f t="shared" si="0"/>
        <v>AmaranthDeepPurple</v>
      </c>
      <c r="H18" t="str">
        <f t="shared" si="1"/>
        <v>AB274F</v>
      </c>
      <c r="I18" t="str">
        <f t="shared" si="2"/>
        <v>AB</v>
      </c>
      <c r="J18" t="str">
        <f t="shared" si="3"/>
        <v>27</v>
      </c>
      <c r="K18" t="str">
        <f t="shared" si="4"/>
        <v>4F</v>
      </c>
      <c r="L18">
        <f t="shared" si="5"/>
        <v>171</v>
      </c>
      <c r="M18">
        <f t="shared" si="6"/>
        <v>39</v>
      </c>
      <c r="N18">
        <f t="shared" si="7"/>
        <v>79</v>
      </c>
      <c r="P18" t="str">
        <f t="shared" si="8"/>
        <v>.AmaranthDeepPurple-bg{background-color:#AB274F;}</v>
      </c>
    </row>
    <row r="19" spans="2:16" ht="15.75">
      <c r="B19" s="1" t="s">
        <v>236</v>
      </c>
      <c r="C19" t="s">
        <v>237</v>
      </c>
      <c r="D19">
        <v>242.25</v>
      </c>
      <c r="E19">
        <v>155.55000000000001</v>
      </c>
      <c r="F19">
        <v>242.25</v>
      </c>
      <c r="G19" t="str">
        <f t="shared" si="0"/>
        <v>AmaranthPink</v>
      </c>
      <c r="H19" t="str">
        <f t="shared" si="1"/>
        <v>F19CBB</v>
      </c>
      <c r="I19" t="str">
        <f t="shared" si="2"/>
        <v>F1</v>
      </c>
      <c r="J19" t="str">
        <f t="shared" si="3"/>
        <v>9C</v>
      </c>
      <c r="K19" t="str">
        <f t="shared" si="4"/>
        <v>BB</v>
      </c>
      <c r="L19">
        <f t="shared" si="5"/>
        <v>241</v>
      </c>
      <c r="M19">
        <f t="shared" si="6"/>
        <v>156</v>
      </c>
      <c r="N19">
        <f t="shared" si="7"/>
        <v>187</v>
      </c>
      <c r="P19" t="str">
        <f t="shared" si="8"/>
        <v>.AmaranthPink-bg{background-color:#F19CBB;}</v>
      </c>
    </row>
    <row r="20" spans="2:16" ht="15.75">
      <c r="B20" s="1" t="s">
        <v>238</v>
      </c>
      <c r="C20" t="s">
        <v>235</v>
      </c>
      <c r="D20">
        <v>170.85</v>
      </c>
      <c r="E20">
        <v>38.25</v>
      </c>
      <c r="F20">
        <v>170.85</v>
      </c>
      <c r="G20" t="str">
        <f t="shared" si="0"/>
        <v>AmaranthPurple</v>
      </c>
      <c r="H20" t="str">
        <f t="shared" si="1"/>
        <v>AB274F</v>
      </c>
      <c r="I20" t="str">
        <f t="shared" si="2"/>
        <v>AB</v>
      </c>
      <c r="J20" t="str">
        <f t="shared" si="3"/>
        <v>27</v>
      </c>
      <c r="K20" t="str">
        <f t="shared" si="4"/>
        <v>4F</v>
      </c>
      <c r="L20">
        <f t="shared" si="5"/>
        <v>171</v>
      </c>
      <c r="M20">
        <f t="shared" si="6"/>
        <v>39</v>
      </c>
      <c r="N20">
        <f t="shared" si="7"/>
        <v>79</v>
      </c>
      <c r="P20" t="str">
        <f t="shared" si="8"/>
        <v>.AmaranthPurple-bg{background-color:#AB274F;}</v>
      </c>
    </row>
    <row r="21" spans="2:16" ht="15.75">
      <c r="B21" s="1" t="s">
        <v>239</v>
      </c>
      <c r="C21" t="s">
        <v>240</v>
      </c>
      <c r="D21">
        <v>211.65</v>
      </c>
      <c r="E21">
        <v>33.15</v>
      </c>
      <c r="F21">
        <v>211.65</v>
      </c>
      <c r="G21" t="str">
        <f t="shared" si="0"/>
        <v>AmaranthRed</v>
      </c>
      <c r="H21" t="str">
        <f t="shared" si="1"/>
        <v>D3212D</v>
      </c>
      <c r="I21" t="str">
        <f t="shared" si="2"/>
        <v>D3</v>
      </c>
      <c r="J21" t="str">
        <f t="shared" si="3"/>
        <v>21</v>
      </c>
      <c r="K21" t="str">
        <f t="shared" si="4"/>
        <v>2D</v>
      </c>
      <c r="L21">
        <f t="shared" si="5"/>
        <v>211</v>
      </c>
      <c r="M21">
        <f t="shared" si="6"/>
        <v>33</v>
      </c>
      <c r="N21">
        <f t="shared" si="7"/>
        <v>45</v>
      </c>
      <c r="P21" t="str">
        <f t="shared" si="8"/>
        <v>.AmaranthRed-bg{background-color:#D3212D;}</v>
      </c>
    </row>
    <row r="22" spans="2:16" ht="15.75">
      <c r="B22" s="1" t="s">
        <v>241</v>
      </c>
      <c r="C22" t="s">
        <v>242</v>
      </c>
      <c r="D22">
        <v>58.65</v>
      </c>
      <c r="E22">
        <v>122.4</v>
      </c>
      <c r="F22">
        <v>58.65</v>
      </c>
      <c r="G22" t="str">
        <f t="shared" si="0"/>
        <v>Amazon</v>
      </c>
      <c r="H22" t="str">
        <f t="shared" si="1"/>
        <v>3B7A57</v>
      </c>
      <c r="I22" t="str">
        <f t="shared" si="2"/>
        <v>3B</v>
      </c>
      <c r="J22" t="str">
        <f t="shared" si="3"/>
        <v>7A</v>
      </c>
      <c r="K22" t="str">
        <f t="shared" si="4"/>
        <v>57</v>
      </c>
      <c r="L22">
        <f t="shared" si="5"/>
        <v>59</v>
      </c>
      <c r="M22">
        <f t="shared" si="6"/>
        <v>122</v>
      </c>
      <c r="N22">
        <f t="shared" si="7"/>
        <v>87</v>
      </c>
      <c r="P22" t="str">
        <f t="shared" si="8"/>
        <v>.Amazon-bg{background-color:#3B7A57;}</v>
      </c>
    </row>
    <row r="23" spans="2:16" ht="15.75">
      <c r="B23" s="1" t="s">
        <v>243</v>
      </c>
      <c r="C23" t="s">
        <v>244</v>
      </c>
      <c r="D23">
        <v>255</v>
      </c>
      <c r="E23">
        <v>191.25</v>
      </c>
      <c r="F23">
        <v>255</v>
      </c>
      <c r="G23" t="str">
        <f t="shared" si="0"/>
        <v>Amber</v>
      </c>
      <c r="H23" t="str">
        <f t="shared" si="1"/>
        <v>FFBF00</v>
      </c>
      <c r="I23" t="str">
        <f t="shared" si="2"/>
        <v>FF</v>
      </c>
      <c r="J23" t="str">
        <f t="shared" si="3"/>
        <v>BF</v>
      </c>
      <c r="K23" t="str">
        <f t="shared" si="4"/>
        <v>00</v>
      </c>
      <c r="L23">
        <f t="shared" si="5"/>
        <v>255</v>
      </c>
      <c r="M23">
        <f t="shared" si="6"/>
        <v>191</v>
      </c>
      <c r="N23">
        <f t="shared" si="7"/>
        <v>0</v>
      </c>
      <c r="P23" t="str">
        <f t="shared" si="8"/>
        <v>.Amber-bg{background-color:#FFBF00;}</v>
      </c>
    </row>
    <row r="24" spans="2:16" ht="15.75">
      <c r="B24" s="1" t="s">
        <v>245</v>
      </c>
      <c r="C24" t="s">
        <v>246</v>
      </c>
      <c r="D24">
        <v>255</v>
      </c>
      <c r="E24">
        <v>124.95</v>
      </c>
      <c r="F24">
        <v>255</v>
      </c>
      <c r="G24" t="str">
        <f t="shared" si="0"/>
        <v>AmberSaeece</v>
      </c>
      <c r="H24" t="str">
        <f t="shared" si="1"/>
        <v>FF7E00</v>
      </c>
      <c r="I24" t="str">
        <f t="shared" si="2"/>
        <v>FF</v>
      </c>
      <c r="J24" t="str">
        <f t="shared" si="3"/>
        <v>7E</v>
      </c>
      <c r="K24" t="str">
        <f t="shared" si="4"/>
        <v>00</v>
      </c>
      <c r="L24">
        <f t="shared" si="5"/>
        <v>255</v>
      </c>
      <c r="M24">
        <f t="shared" si="6"/>
        <v>126</v>
      </c>
      <c r="N24">
        <f t="shared" si="7"/>
        <v>0</v>
      </c>
      <c r="P24" t="str">
        <f t="shared" si="8"/>
        <v>.AmberSaeece-bg{background-color:#FF7E00;}</v>
      </c>
    </row>
    <row r="25" spans="2:16" ht="15.75">
      <c r="B25" s="1" t="s">
        <v>247</v>
      </c>
      <c r="C25" t="s">
        <v>248</v>
      </c>
      <c r="D25">
        <v>255</v>
      </c>
      <c r="E25">
        <v>2.5499999999999998</v>
      </c>
      <c r="F25">
        <v>255</v>
      </c>
      <c r="G25" t="str">
        <f t="shared" si="0"/>
        <v>AmericanRose</v>
      </c>
      <c r="H25" t="str">
        <f t="shared" si="1"/>
        <v>FF033E</v>
      </c>
      <c r="I25" t="str">
        <f t="shared" si="2"/>
        <v>FF</v>
      </c>
      <c r="J25" t="str">
        <f t="shared" si="3"/>
        <v>03</v>
      </c>
      <c r="K25" t="str">
        <f t="shared" si="4"/>
        <v>3E</v>
      </c>
      <c r="L25">
        <f t="shared" si="5"/>
        <v>255</v>
      </c>
      <c r="M25">
        <f t="shared" si="6"/>
        <v>3</v>
      </c>
      <c r="N25">
        <f t="shared" si="7"/>
        <v>62</v>
      </c>
      <c r="P25" t="str">
        <f t="shared" si="8"/>
        <v>.AmericanRose-bg{background-color:#FF033E;}</v>
      </c>
    </row>
    <row r="26" spans="2:16" ht="15.75">
      <c r="B26" s="1" t="s">
        <v>249</v>
      </c>
      <c r="C26" t="s">
        <v>250</v>
      </c>
      <c r="D26">
        <v>153</v>
      </c>
      <c r="E26">
        <v>102</v>
      </c>
      <c r="F26">
        <v>153</v>
      </c>
      <c r="G26" t="str">
        <f t="shared" si="0"/>
        <v>Amethyst</v>
      </c>
      <c r="H26" t="str">
        <f t="shared" si="1"/>
        <v>9966CC</v>
      </c>
      <c r="I26" t="str">
        <f t="shared" si="2"/>
        <v>99</v>
      </c>
      <c r="J26" t="str">
        <f t="shared" si="3"/>
        <v>66</v>
      </c>
      <c r="K26" t="str">
        <f t="shared" si="4"/>
        <v>CC</v>
      </c>
      <c r="L26">
        <f t="shared" si="5"/>
        <v>153</v>
      </c>
      <c r="M26">
        <f t="shared" si="6"/>
        <v>102</v>
      </c>
      <c r="N26">
        <f t="shared" si="7"/>
        <v>204</v>
      </c>
      <c r="P26" t="str">
        <f t="shared" si="8"/>
        <v>.Amethyst-bg{background-color:#9966CC;}</v>
      </c>
    </row>
    <row r="27" spans="2:16" ht="15.75">
      <c r="B27" s="1" t="s">
        <v>251</v>
      </c>
      <c r="C27" t="s">
        <v>252</v>
      </c>
      <c r="D27">
        <v>163.19999999999999</v>
      </c>
      <c r="E27">
        <v>198.9</v>
      </c>
      <c r="F27">
        <v>163.19999999999999</v>
      </c>
      <c r="G27" t="str">
        <f t="shared" si="0"/>
        <v>AndroidGreen</v>
      </c>
      <c r="H27" t="str">
        <f t="shared" si="1"/>
        <v>A4C639</v>
      </c>
      <c r="I27" t="str">
        <f t="shared" si="2"/>
        <v>A4</v>
      </c>
      <c r="J27" t="str">
        <f t="shared" si="3"/>
        <v>C6</v>
      </c>
      <c r="K27" t="str">
        <f t="shared" si="4"/>
        <v>39</v>
      </c>
      <c r="L27">
        <f t="shared" si="5"/>
        <v>164</v>
      </c>
      <c r="M27">
        <f t="shared" si="6"/>
        <v>198</v>
      </c>
      <c r="N27">
        <f t="shared" si="7"/>
        <v>57</v>
      </c>
      <c r="P27" t="str">
        <f t="shared" si="8"/>
        <v>.AndroidGreen-bg{background-color:#A4C639;}</v>
      </c>
    </row>
    <row r="28" spans="2:16" ht="15.75">
      <c r="B28" s="1" t="s">
        <v>253</v>
      </c>
      <c r="C28" t="s">
        <v>254</v>
      </c>
      <c r="D28">
        <v>242.25</v>
      </c>
      <c r="E28">
        <v>242.25</v>
      </c>
      <c r="F28">
        <v>242.25</v>
      </c>
      <c r="G28" t="str">
        <f t="shared" si="0"/>
        <v>AntiflashWhite</v>
      </c>
      <c r="H28" t="str">
        <f t="shared" si="1"/>
        <v>F2F3F4</v>
      </c>
      <c r="I28" t="str">
        <f t="shared" si="2"/>
        <v>F2</v>
      </c>
      <c r="J28" t="str">
        <f t="shared" si="3"/>
        <v>F3</v>
      </c>
      <c r="K28" t="str">
        <f t="shared" si="4"/>
        <v>F4</v>
      </c>
      <c r="L28">
        <f t="shared" si="5"/>
        <v>242</v>
      </c>
      <c r="M28">
        <f t="shared" si="6"/>
        <v>243</v>
      </c>
      <c r="N28">
        <f t="shared" si="7"/>
        <v>244</v>
      </c>
      <c r="P28" t="str">
        <f t="shared" si="8"/>
        <v>.AntiflashWhite-bg{background-color:#F2F3F4;}</v>
      </c>
    </row>
    <row r="29" spans="2:16" ht="15.75">
      <c r="B29" s="1" t="s">
        <v>255</v>
      </c>
      <c r="C29" t="s">
        <v>256</v>
      </c>
      <c r="D29">
        <v>204</v>
      </c>
      <c r="E29">
        <v>147.9</v>
      </c>
      <c r="F29">
        <v>204</v>
      </c>
      <c r="G29" t="str">
        <f t="shared" si="0"/>
        <v>AntiqueBrass</v>
      </c>
      <c r="H29" t="str">
        <f t="shared" si="1"/>
        <v>CD9575</v>
      </c>
      <c r="I29" t="str">
        <f t="shared" si="2"/>
        <v>CD</v>
      </c>
      <c r="J29" t="str">
        <f t="shared" si="3"/>
        <v>95</v>
      </c>
      <c r="K29" t="str">
        <f t="shared" si="4"/>
        <v>75</v>
      </c>
      <c r="L29">
        <f t="shared" si="5"/>
        <v>205</v>
      </c>
      <c r="M29">
        <f t="shared" si="6"/>
        <v>149</v>
      </c>
      <c r="N29">
        <f t="shared" si="7"/>
        <v>117</v>
      </c>
      <c r="P29" t="str">
        <f t="shared" si="8"/>
        <v>.AntiqueBrass-bg{background-color:#CD9575;}</v>
      </c>
    </row>
    <row r="30" spans="2:16" ht="15.75">
      <c r="B30" s="1" t="s">
        <v>257</v>
      </c>
      <c r="C30" t="s">
        <v>258</v>
      </c>
      <c r="D30">
        <v>102</v>
      </c>
      <c r="E30">
        <v>91.8</v>
      </c>
      <c r="F30">
        <v>102</v>
      </c>
      <c r="G30" t="str">
        <f t="shared" si="0"/>
        <v>AntiqueBronze</v>
      </c>
      <c r="H30" t="str">
        <f t="shared" si="1"/>
        <v>665D1E</v>
      </c>
      <c r="I30" t="str">
        <f t="shared" si="2"/>
        <v>66</v>
      </c>
      <c r="J30" t="str">
        <f t="shared" si="3"/>
        <v>5D</v>
      </c>
      <c r="K30" t="str">
        <f t="shared" si="4"/>
        <v>1E</v>
      </c>
      <c r="L30">
        <f t="shared" si="5"/>
        <v>102</v>
      </c>
      <c r="M30">
        <f t="shared" si="6"/>
        <v>93</v>
      </c>
      <c r="N30">
        <f t="shared" si="7"/>
        <v>30</v>
      </c>
      <c r="P30" t="str">
        <f t="shared" si="8"/>
        <v>.AntiqueBronze-bg{background-color:#665D1E;}</v>
      </c>
    </row>
    <row r="31" spans="2:16" ht="15.75">
      <c r="B31" s="1" t="s">
        <v>259</v>
      </c>
      <c r="C31" t="s">
        <v>260</v>
      </c>
      <c r="D31">
        <v>145.35</v>
      </c>
      <c r="E31">
        <v>91.8</v>
      </c>
      <c r="F31">
        <v>145.35</v>
      </c>
      <c r="G31" t="str">
        <f t="shared" si="0"/>
        <v>AntiqueFuchsia</v>
      </c>
      <c r="H31" t="str">
        <f t="shared" si="1"/>
        <v>915C83</v>
      </c>
      <c r="I31" t="str">
        <f t="shared" si="2"/>
        <v>91</v>
      </c>
      <c r="J31" t="str">
        <f t="shared" si="3"/>
        <v>5C</v>
      </c>
      <c r="K31" t="str">
        <f t="shared" si="4"/>
        <v>83</v>
      </c>
      <c r="L31">
        <f t="shared" si="5"/>
        <v>145</v>
      </c>
      <c r="M31">
        <f t="shared" si="6"/>
        <v>92</v>
      </c>
      <c r="N31">
        <f t="shared" si="7"/>
        <v>131</v>
      </c>
      <c r="P31" t="str">
        <f t="shared" si="8"/>
        <v>.AntiqueFuchsia-bg{background-color:#915C83;}</v>
      </c>
    </row>
    <row r="32" spans="2:16" ht="15.75">
      <c r="B32" s="1" t="s">
        <v>261</v>
      </c>
      <c r="C32" t="s">
        <v>262</v>
      </c>
      <c r="D32">
        <v>132.6</v>
      </c>
      <c r="E32">
        <v>28.05</v>
      </c>
      <c r="F32">
        <v>132.6</v>
      </c>
      <c r="G32" t="str">
        <f t="shared" si="0"/>
        <v>AntiqueRuby</v>
      </c>
      <c r="H32" t="str">
        <f t="shared" si="1"/>
        <v>841B2D</v>
      </c>
      <c r="I32" t="str">
        <f t="shared" si="2"/>
        <v>84</v>
      </c>
      <c r="J32" t="str">
        <f t="shared" si="3"/>
        <v>1B</v>
      </c>
      <c r="K32" t="str">
        <f t="shared" si="4"/>
        <v>2D</v>
      </c>
      <c r="L32">
        <f t="shared" si="5"/>
        <v>132</v>
      </c>
      <c r="M32">
        <f t="shared" si="6"/>
        <v>27</v>
      </c>
      <c r="N32">
        <f t="shared" si="7"/>
        <v>45</v>
      </c>
      <c r="P32" t="str">
        <f t="shared" si="8"/>
        <v>.AntiqueRuby-bg{background-color:#841B2D;}</v>
      </c>
    </row>
    <row r="33" spans="2:16" ht="15.75">
      <c r="B33" s="1" t="s">
        <v>263</v>
      </c>
      <c r="C33" t="s">
        <v>264</v>
      </c>
      <c r="D33">
        <v>249.9</v>
      </c>
      <c r="E33">
        <v>234.6</v>
      </c>
      <c r="F33">
        <v>249.9</v>
      </c>
      <c r="G33" t="str">
        <f t="shared" si="0"/>
        <v>AntiqueWhite</v>
      </c>
      <c r="H33" t="str">
        <f t="shared" si="1"/>
        <v>FAEBD7</v>
      </c>
      <c r="I33" t="str">
        <f t="shared" si="2"/>
        <v>FA</v>
      </c>
      <c r="J33" t="str">
        <f t="shared" si="3"/>
        <v>EB</v>
      </c>
      <c r="K33" t="str">
        <f t="shared" si="4"/>
        <v>D7</v>
      </c>
      <c r="L33">
        <f t="shared" si="5"/>
        <v>250</v>
      </c>
      <c r="M33">
        <f t="shared" si="6"/>
        <v>235</v>
      </c>
      <c r="N33">
        <f t="shared" si="7"/>
        <v>215</v>
      </c>
      <c r="P33" t="str">
        <f t="shared" si="8"/>
        <v>.AntiqueWhite-bg{background-color:#FAEBD7;}</v>
      </c>
    </row>
    <row r="34" spans="2:16" ht="15.75">
      <c r="B34" s="1" t="s">
        <v>265</v>
      </c>
      <c r="C34" t="s">
        <v>266</v>
      </c>
      <c r="D34">
        <v>0</v>
      </c>
      <c r="E34">
        <v>127.5</v>
      </c>
      <c r="F34">
        <v>0</v>
      </c>
      <c r="G34" t="str">
        <f t="shared" si="0"/>
        <v>AoEnglish</v>
      </c>
      <c r="H34" t="str">
        <f t="shared" si="1"/>
        <v>008000</v>
      </c>
      <c r="I34" t="str">
        <f t="shared" si="2"/>
        <v>00</v>
      </c>
      <c r="J34" t="str">
        <f t="shared" si="3"/>
        <v>80</v>
      </c>
      <c r="K34" t="str">
        <f t="shared" si="4"/>
        <v>00</v>
      </c>
      <c r="L34">
        <f t="shared" si="5"/>
        <v>0</v>
      </c>
      <c r="M34">
        <f t="shared" si="6"/>
        <v>128</v>
      </c>
      <c r="N34">
        <f t="shared" si="7"/>
        <v>0</v>
      </c>
      <c r="P34" t="str">
        <f t="shared" si="8"/>
        <v>.AoEnglish-bg{background-color:#008000;}</v>
      </c>
    </row>
    <row r="35" spans="2:16" ht="15.75">
      <c r="B35" s="1" t="s">
        <v>267</v>
      </c>
      <c r="C35" t="s">
        <v>268</v>
      </c>
      <c r="D35">
        <v>140.25</v>
      </c>
      <c r="E35">
        <v>181.05</v>
      </c>
      <c r="F35">
        <v>140.25</v>
      </c>
      <c r="G35" t="str">
        <f t="shared" si="0"/>
        <v>AppleGreen</v>
      </c>
      <c r="H35" t="str">
        <f t="shared" si="1"/>
        <v>8DB600</v>
      </c>
      <c r="I35" t="str">
        <f t="shared" si="2"/>
        <v>8D</v>
      </c>
      <c r="J35" t="str">
        <f t="shared" si="3"/>
        <v>B6</v>
      </c>
      <c r="K35" t="str">
        <f t="shared" si="4"/>
        <v>00</v>
      </c>
      <c r="L35">
        <f t="shared" si="5"/>
        <v>141</v>
      </c>
      <c r="M35">
        <f t="shared" si="6"/>
        <v>182</v>
      </c>
      <c r="N35">
        <f t="shared" si="7"/>
        <v>0</v>
      </c>
      <c r="P35" t="str">
        <f t="shared" si="8"/>
        <v>.AppleGreen-bg{background-color:#8DB600;}</v>
      </c>
    </row>
    <row r="36" spans="2:16" ht="15.75">
      <c r="B36" s="1" t="s">
        <v>269</v>
      </c>
      <c r="C36" t="s">
        <v>270</v>
      </c>
      <c r="D36">
        <v>249.9</v>
      </c>
      <c r="E36">
        <v>206.55</v>
      </c>
      <c r="F36">
        <v>249.9</v>
      </c>
      <c r="G36" t="str">
        <f t="shared" si="0"/>
        <v>Apricot</v>
      </c>
      <c r="H36" t="str">
        <f t="shared" si="1"/>
        <v>FBCEB1</v>
      </c>
      <c r="I36" t="str">
        <f t="shared" si="2"/>
        <v>FB</v>
      </c>
      <c r="J36" t="str">
        <f t="shared" si="3"/>
        <v>CE</v>
      </c>
      <c r="K36" t="str">
        <f t="shared" si="4"/>
        <v>B1</v>
      </c>
      <c r="L36">
        <f t="shared" si="5"/>
        <v>251</v>
      </c>
      <c r="M36">
        <f t="shared" si="6"/>
        <v>206</v>
      </c>
      <c r="N36">
        <f t="shared" si="7"/>
        <v>177</v>
      </c>
      <c r="P36" t="str">
        <f t="shared" si="8"/>
        <v>.Apricot-bg{background-color:#FBCEB1;}</v>
      </c>
    </row>
    <row r="37" spans="2:16" ht="15.75">
      <c r="B37" s="1" t="s">
        <v>271</v>
      </c>
      <c r="C37" t="s">
        <v>272</v>
      </c>
      <c r="D37">
        <v>0</v>
      </c>
      <c r="E37">
        <v>255</v>
      </c>
      <c r="F37">
        <v>0</v>
      </c>
      <c r="G37" t="str">
        <f t="shared" si="0"/>
        <v>Aqua</v>
      </c>
      <c r="H37" t="str">
        <f t="shared" si="1"/>
        <v>00FFFF</v>
      </c>
      <c r="I37" t="str">
        <f t="shared" si="2"/>
        <v>00</v>
      </c>
      <c r="J37" t="str">
        <f t="shared" si="3"/>
        <v>FF</v>
      </c>
      <c r="K37" t="str">
        <f t="shared" si="4"/>
        <v>FF</v>
      </c>
      <c r="L37">
        <f t="shared" si="5"/>
        <v>0</v>
      </c>
      <c r="M37">
        <f t="shared" si="6"/>
        <v>255</v>
      </c>
      <c r="N37">
        <f t="shared" si="7"/>
        <v>255</v>
      </c>
      <c r="P37" t="str">
        <f t="shared" si="8"/>
        <v>.Aqua-bg{background-color:#00FFFF;}</v>
      </c>
    </row>
    <row r="38" spans="2:16" ht="15.75">
      <c r="B38" s="1" t="s">
        <v>273</v>
      </c>
      <c r="C38" t="s">
        <v>274</v>
      </c>
      <c r="D38">
        <v>127.5</v>
      </c>
      <c r="E38">
        <v>255</v>
      </c>
      <c r="F38">
        <v>127.5</v>
      </c>
      <c r="G38" t="str">
        <f t="shared" si="0"/>
        <v>Aquamarine</v>
      </c>
      <c r="H38" t="str">
        <f t="shared" si="1"/>
        <v>7FFFD4</v>
      </c>
      <c r="I38" t="str">
        <f t="shared" si="2"/>
        <v>7F</v>
      </c>
      <c r="J38" t="str">
        <f t="shared" si="3"/>
        <v>FF</v>
      </c>
      <c r="K38" t="str">
        <f t="shared" si="4"/>
        <v>D4</v>
      </c>
      <c r="L38">
        <f t="shared" si="5"/>
        <v>127</v>
      </c>
      <c r="M38">
        <f t="shared" si="6"/>
        <v>255</v>
      </c>
      <c r="N38">
        <f t="shared" si="7"/>
        <v>212</v>
      </c>
      <c r="P38" t="str">
        <f t="shared" si="8"/>
        <v>.Aquamarine-bg{background-color:#7FFFD4;}</v>
      </c>
    </row>
    <row r="39" spans="2:16" ht="15.75">
      <c r="B39" s="1" t="s">
        <v>275</v>
      </c>
      <c r="C39" t="s">
        <v>276</v>
      </c>
      <c r="D39">
        <v>209.1</v>
      </c>
      <c r="E39">
        <v>255</v>
      </c>
      <c r="F39">
        <v>209.1</v>
      </c>
      <c r="G39" t="str">
        <f t="shared" si="0"/>
        <v>ArcticLime</v>
      </c>
      <c r="H39" t="str">
        <f t="shared" si="1"/>
        <v>D0FF14</v>
      </c>
      <c r="I39" t="str">
        <f t="shared" si="2"/>
        <v>D0</v>
      </c>
      <c r="J39" t="str">
        <f t="shared" si="3"/>
        <v>FF</v>
      </c>
      <c r="K39" t="str">
        <f t="shared" si="4"/>
        <v>14</v>
      </c>
      <c r="L39">
        <f t="shared" si="5"/>
        <v>208</v>
      </c>
      <c r="M39">
        <f t="shared" si="6"/>
        <v>255</v>
      </c>
      <c r="N39">
        <f t="shared" si="7"/>
        <v>20</v>
      </c>
      <c r="P39" t="str">
        <f t="shared" si="8"/>
        <v>.ArcticLime-bg{background-color:#D0FF14;}</v>
      </c>
    </row>
    <row r="40" spans="2:16" ht="15.75">
      <c r="B40" s="1" t="s">
        <v>277</v>
      </c>
      <c r="C40" t="s">
        <v>278</v>
      </c>
      <c r="D40">
        <v>73.95</v>
      </c>
      <c r="E40">
        <v>84.15</v>
      </c>
      <c r="F40">
        <v>73.95</v>
      </c>
      <c r="G40" t="str">
        <f t="shared" si="0"/>
        <v>ArmyGreen</v>
      </c>
      <c r="H40" t="str">
        <f t="shared" si="1"/>
        <v>4B5320</v>
      </c>
      <c r="I40" t="str">
        <f t="shared" si="2"/>
        <v>4B</v>
      </c>
      <c r="J40" t="str">
        <f t="shared" si="3"/>
        <v>53</v>
      </c>
      <c r="K40" t="str">
        <f t="shared" si="4"/>
        <v>20</v>
      </c>
      <c r="L40">
        <f t="shared" si="5"/>
        <v>75</v>
      </c>
      <c r="M40">
        <f t="shared" si="6"/>
        <v>83</v>
      </c>
      <c r="N40">
        <f t="shared" si="7"/>
        <v>32</v>
      </c>
      <c r="P40" t="str">
        <f t="shared" si="8"/>
        <v>.ArmyGreen-bg{background-color:#4B5320;}</v>
      </c>
    </row>
    <row r="41" spans="2:16" ht="15.75">
      <c r="B41" s="1" t="s">
        <v>279</v>
      </c>
      <c r="C41" t="s">
        <v>280</v>
      </c>
      <c r="D41">
        <v>58.65</v>
      </c>
      <c r="E41">
        <v>68.849999999999994</v>
      </c>
      <c r="F41">
        <v>58.65</v>
      </c>
      <c r="G41" t="str">
        <f t="shared" si="0"/>
        <v>Arsenic</v>
      </c>
      <c r="H41" t="str">
        <f t="shared" si="1"/>
        <v>3B444B</v>
      </c>
      <c r="I41" t="str">
        <f t="shared" si="2"/>
        <v>3B</v>
      </c>
      <c r="J41" t="str">
        <f t="shared" si="3"/>
        <v>44</v>
      </c>
      <c r="K41" t="str">
        <f t="shared" si="4"/>
        <v>4B</v>
      </c>
      <c r="L41">
        <f t="shared" si="5"/>
        <v>59</v>
      </c>
      <c r="M41">
        <f t="shared" si="6"/>
        <v>68</v>
      </c>
      <c r="N41">
        <f t="shared" si="7"/>
        <v>75</v>
      </c>
      <c r="P41" t="str">
        <f t="shared" si="8"/>
        <v>.Arsenic-bg{background-color:#3B444B;}</v>
      </c>
    </row>
    <row r="42" spans="2:16" ht="15.75">
      <c r="B42" s="1" t="s">
        <v>281</v>
      </c>
      <c r="C42" t="s">
        <v>282</v>
      </c>
      <c r="D42">
        <v>142.80000000000001</v>
      </c>
      <c r="E42">
        <v>150.44999999999999</v>
      </c>
      <c r="F42">
        <v>142.80000000000001</v>
      </c>
      <c r="G42" t="str">
        <f t="shared" si="0"/>
        <v>Artichoke</v>
      </c>
      <c r="H42" t="str">
        <f t="shared" si="1"/>
        <v>8F9779</v>
      </c>
      <c r="I42" t="str">
        <f t="shared" si="2"/>
        <v>8F</v>
      </c>
      <c r="J42" t="str">
        <f t="shared" si="3"/>
        <v>97</v>
      </c>
      <c r="K42" t="str">
        <f t="shared" si="4"/>
        <v>79</v>
      </c>
      <c r="L42">
        <f t="shared" si="5"/>
        <v>143</v>
      </c>
      <c r="M42">
        <f t="shared" si="6"/>
        <v>151</v>
      </c>
      <c r="N42">
        <f t="shared" si="7"/>
        <v>121</v>
      </c>
      <c r="P42" t="str">
        <f t="shared" si="8"/>
        <v>.Artichoke-bg{background-color:#8F9779;}</v>
      </c>
    </row>
    <row r="43" spans="2:16" ht="15.75">
      <c r="B43" s="1" t="s">
        <v>283</v>
      </c>
      <c r="C43" t="s">
        <v>284</v>
      </c>
      <c r="D43">
        <v>232.05</v>
      </c>
      <c r="E43">
        <v>214.2</v>
      </c>
      <c r="F43">
        <v>232.05</v>
      </c>
      <c r="G43" t="str">
        <f t="shared" si="0"/>
        <v>ArylideYellow</v>
      </c>
      <c r="H43" t="str">
        <f t="shared" si="1"/>
        <v>E9D66B</v>
      </c>
      <c r="I43" t="str">
        <f t="shared" si="2"/>
        <v>E9</v>
      </c>
      <c r="J43" t="str">
        <f t="shared" si="3"/>
        <v>D6</v>
      </c>
      <c r="K43" t="str">
        <f t="shared" si="4"/>
        <v>6B</v>
      </c>
      <c r="L43">
        <f t="shared" si="5"/>
        <v>233</v>
      </c>
      <c r="M43">
        <f t="shared" si="6"/>
        <v>214</v>
      </c>
      <c r="N43">
        <f t="shared" si="7"/>
        <v>107</v>
      </c>
      <c r="P43" t="str">
        <f t="shared" si="8"/>
        <v>.ArylideYellow-bg{background-color:#E9D66B;}</v>
      </c>
    </row>
    <row r="44" spans="2:16" ht="15.75">
      <c r="B44" s="1" t="s">
        <v>285</v>
      </c>
      <c r="C44" t="s">
        <v>286</v>
      </c>
      <c r="D44">
        <v>178.5</v>
      </c>
      <c r="E44">
        <v>191.25</v>
      </c>
      <c r="F44">
        <v>178.5</v>
      </c>
      <c r="G44" t="str">
        <f t="shared" si="0"/>
        <v>AshGrey</v>
      </c>
      <c r="H44" t="str">
        <f t="shared" si="1"/>
        <v>B2BEB5</v>
      </c>
      <c r="I44" t="str">
        <f t="shared" si="2"/>
        <v>B2</v>
      </c>
      <c r="J44" t="str">
        <f t="shared" si="3"/>
        <v>BE</v>
      </c>
      <c r="K44" t="str">
        <f t="shared" si="4"/>
        <v>B5</v>
      </c>
      <c r="L44">
        <f t="shared" si="5"/>
        <v>178</v>
      </c>
      <c r="M44">
        <f t="shared" si="6"/>
        <v>190</v>
      </c>
      <c r="N44">
        <f t="shared" si="7"/>
        <v>181</v>
      </c>
      <c r="P44" t="str">
        <f t="shared" si="8"/>
        <v>.AshGrey-bg{background-color:#B2BEB5;}</v>
      </c>
    </row>
    <row r="45" spans="2:16" ht="15.75">
      <c r="B45" s="1" t="s">
        <v>287</v>
      </c>
      <c r="C45" t="s">
        <v>288</v>
      </c>
      <c r="D45">
        <v>135.15</v>
      </c>
      <c r="E45">
        <v>168.3</v>
      </c>
      <c r="F45">
        <v>135.15</v>
      </c>
      <c r="G45" t="str">
        <f t="shared" si="0"/>
        <v>Asparagus</v>
      </c>
      <c r="H45" t="str">
        <f t="shared" si="1"/>
        <v>87A96B</v>
      </c>
      <c r="I45" t="str">
        <f t="shared" si="2"/>
        <v>87</v>
      </c>
      <c r="J45" t="str">
        <f t="shared" si="3"/>
        <v>A9</v>
      </c>
      <c r="K45" t="str">
        <f t="shared" si="4"/>
        <v>6B</v>
      </c>
      <c r="L45">
        <f t="shared" si="5"/>
        <v>135</v>
      </c>
      <c r="M45">
        <f t="shared" si="6"/>
        <v>169</v>
      </c>
      <c r="N45">
        <f t="shared" si="7"/>
        <v>107</v>
      </c>
      <c r="P45" t="str">
        <f t="shared" si="8"/>
        <v>.Asparagus-bg{background-color:#87A96B;}</v>
      </c>
    </row>
    <row r="46" spans="2:16" ht="15.75">
      <c r="B46" s="1" t="s">
        <v>289</v>
      </c>
      <c r="C46" t="s">
        <v>290</v>
      </c>
      <c r="D46">
        <v>255</v>
      </c>
      <c r="E46">
        <v>153</v>
      </c>
      <c r="F46">
        <v>255</v>
      </c>
      <c r="G46" t="str">
        <f t="shared" si="0"/>
        <v>AtomicTangerine</v>
      </c>
      <c r="H46" t="str">
        <f t="shared" si="1"/>
        <v>FF9966</v>
      </c>
      <c r="I46" t="str">
        <f t="shared" si="2"/>
        <v>FF</v>
      </c>
      <c r="J46" t="str">
        <f t="shared" si="3"/>
        <v>99</v>
      </c>
      <c r="K46" t="str">
        <f t="shared" si="4"/>
        <v>66</v>
      </c>
      <c r="L46">
        <f t="shared" si="5"/>
        <v>255</v>
      </c>
      <c r="M46">
        <f t="shared" si="6"/>
        <v>153</v>
      </c>
      <c r="N46">
        <f t="shared" si="7"/>
        <v>102</v>
      </c>
      <c r="P46" t="str">
        <f t="shared" si="8"/>
        <v>.AtomicTangerine-bg{background-color:#FF9966;}</v>
      </c>
    </row>
    <row r="47" spans="2:16" ht="15.75">
      <c r="B47" s="1" t="s">
        <v>291</v>
      </c>
      <c r="C47" t="s">
        <v>292</v>
      </c>
      <c r="D47">
        <v>165.75</v>
      </c>
      <c r="E47">
        <v>40.799999999999997</v>
      </c>
      <c r="F47">
        <v>165.75</v>
      </c>
      <c r="G47" t="str">
        <f t="shared" si="0"/>
        <v>Auburn</v>
      </c>
      <c r="H47" t="str">
        <f t="shared" si="1"/>
        <v>A52A2A</v>
      </c>
      <c r="I47" t="str">
        <f t="shared" si="2"/>
        <v>A5</v>
      </c>
      <c r="J47" t="str">
        <f t="shared" si="3"/>
        <v>2A</v>
      </c>
      <c r="K47" t="str">
        <f t="shared" si="4"/>
        <v>2A</v>
      </c>
      <c r="L47">
        <f t="shared" si="5"/>
        <v>165</v>
      </c>
      <c r="M47">
        <f t="shared" si="6"/>
        <v>42</v>
      </c>
      <c r="N47">
        <f t="shared" si="7"/>
        <v>42</v>
      </c>
      <c r="P47" t="str">
        <f t="shared" si="8"/>
        <v>.Auburn-bg{background-color:#A52A2A;}</v>
      </c>
    </row>
    <row r="48" spans="2:16" ht="15.75">
      <c r="B48" s="1" t="s">
        <v>293</v>
      </c>
      <c r="C48" t="s">
        <v>294</v>
      </c>
      <c r="D48">
        <v>252.45</v>
      </c>
      <c r="E48">
        <v>237.15</v>
      </c>
      <c r="F48">
        <v>252.45</v>
      </c>
      <c r="G48" t="str">
        <f t="shared" si="0"/>
        <v>Aureolin</v>
      </c>
      <c r="H48" t="str">
        <f t="shared" si="1"/>
        <v>FDEE00</v>
      </c>
      <c r="I48" t="str">
        <f t="shared" si="2"/>
        <v>FD</v>
      </c>
      <c r="J48" t="str">
        <f t="shared" si="3"/>
        <v>EE</v>
      </c>
      <c r="K48" t="str">
        <f t="shared" si="4"/>
        <v>00</v>
      </c>
      <c r="L48">
        <f t="shared" si="5"/>
        <v>253</v>
      </c>
      <c r="M48">
        <f t="shared" si="6"/>
        <v>238</v>
      </c>
      <c r="N48">
        <f t="shared" si="7"/>
        <v>0</v>
      </c>
      <c r="P48" t="str">
        <f t="shared" si="8"/>
        <v>.Aureolin-bg{background-color:#FDEE00;}</v>
      </c>
    </row>
    <row r="49" spans="2:16" ht="15.75">
      <c r="B49" s="1" t="s">
        <v>295</v>
      </c>
      <c r="C49" t="s">
        <v>296</v>
      </c>
      <c r="D49">
        <v>109.65</v>
      </c>
      <c r="E49">
        <v>127.5</v>
      </c>
      <c r="F49">
        <v>109.65</v>
      </c>
      <c r="G49" t="str">
        <f t="shared" si="0"/>
        <v>Aurometalsaurus</v>
      </c>
      <c r="H49" t="str">
        <f t="shared" si="1"/>
        <v>6E7F80</v>
      </c>
      <c r="I49" t="str">
        <f t="shared" si="2"/>
        <v>6E</v>
      </c>
      <c r="J49" t="str">
        <f t="shared" si="3"/>
        <v>7F</v>
      </c>
      <c r="K49" t="str">
        <f t="shared" si="4"/>
        <v>80</v>
      </c>
      <c r="L49">
        <f t="shared" si="5"/>
        <v>110</v>
      </c>
      <c r="M49">
        <f t="shared" si="6"/>
        <v>127</v>
      </c>
      <c r="N49">
        <f t="shared" si="7"/>
        <v>128</v>
      </c>
      <c r="P49" t="str">
        <f t="shared" si="8"/>
        <v>.Aurometalsaurus-bg{background-color:#6E7F80;}</v>
      </c>
    </row>
    <row r="50" spans="2:16" ht="15.75">
      <c r="B50" s="1" t="s">
        <v>297</v>
      </c>
      <c r="C50" t="s">
        <v>298</v>
      </c>
      <c r="D50">
        <v>86.7</v>
      </c>
      <c r="E50">
        <v>130.05000000000001</v>
      </c>
      <c r="F50">
        <v>86.7</v>
      </c>
      <c r="G50" t="str">
        <f t="shared" si="0"/>
        <v>Avocado</v>
      </c>
      <c r="H50" t="str">
        <f t="shared" si="1"/>
        <v>568203</v>
      </c>
      <c r="I50" t="str">
        <f t="shared" si="2"/>
        <v>56</v>
      </c>
      <c r="J50" t="str">
        <f t="shared" si="3"/>
        <v>82</v>
      </c>
      <c r="K50" t="str">
        <f t="shared" si="4"/>
        <v>03</v>
      </c>
      <c r="L50">
        <f t="shared" si="5"/>
        <v>86</v>
      </c>
      <c r="M50">
        <f t="shared" si="6"/>
        <v>130</v>
      </c>
      <c r="N50">
        <f t="shared" si="7"/>
        <v>3</v>
      </c>
      <c r="P50" t="str">
        <f t="shared" si="8"/>
        <v>.Avocado-bg{background-color:#568203;}</v>
      </c>
    </row>
    <row r="51" spans="2:16" ht="15.75">
      <c r="B51" s="1" t="s">
        <v>299</v>
      </c>
      <c r="C51" t="s">
        <v>300</v>
      </c>
      <c r="D51">
        <v>193.8</v>
      </c>
      <c r="E51">
        <v>153</v>
      </c>
      <c r="F51">
        <v>193.8</v>
      </c>
      <c r="G51" t="str">
        <f t="shared" si="0"/>
        <v>AztecGold</v>
      </c>
      <c r="H51" t="str">
        <f t="shared" si="1"/>
        <v>C39953</v>
      </c>
      <c r="I51" t="str">
        <f t="shared" si="2"/>
        <v>C3</v>
      </c>
      <c r="J51" t="str">
        <f t="shared" si="3"/>
        <v>99</v>
      </c>
      <c r="K51" t="str">
        <f t="shared" si="4"/>
        <v>53</v>
      </c>
      <c r="L51">
        <f t="shared" si="5"/>
        <v>195</v>
      </c>
      <c r="M51">
        <f t="shared" si="6"/>
        <v>153</v>
      </c>
      <c r="N51">
        <f t="shared" si="7"/>
        <v>83</v>
      </c>
      <c r="P51" t="str">
        <f t="shared" si="8"/>
        <v>.AztecGold-bg{background-color:#C39953;}</v>
      </c>
    </row>
    <row r="52" spans="2:16" ht="15.75">
      <c r="B52" s="1" t="s">
        <v>301</v>
      </c>
      <c r="C52" t="s">
        <v>302</v>
      </c>
      <c r="D52">
        <v>0</v>
      </c>
      <c r="E52">
        <v>127.5</v>
      </c>
      <c r="F52">
        <v>0</v>
      </c>
      <c r="G52" t="str">
        <f t="shared" si="0"/>
        <v>Azure</v>
      </c>
      <c r="H52" t="str">
        <f t="shared" si="1"/>
        <v>007FFF</v>
      </c>
      <c r="I52" t="str">
        <f t="shared" si="2"/>
        <v>00</v>
      </c>
      <c r="J52" t="str">
        <f t="shared" si="3"/>
        <v>7F</v>
      </c>
      <c r="K52" t="str">
        <f t="shared" si="4"/>
        <v>FF</v>
      </c>
      <c r="L52">
        <f t="shared" si="5"/>
        <v>0</v>
      </c>
      <c r="M52">
        <f t="shared" si="6"/>
        <v>127</v>
      </c>
      <c r="N52">
        <f t="shared" si="7"/>
        <v>255</v>
      </c>
      <c r="P52" t="str">
        <f t="shared" si="8"/>
        <v>.Azure-bg{background-color:#007FFF;}</v>
      </c>
    </row>
    <row r="53" spans="2:16" ht="15.75">
      <c r="B53" s="1" t="s">
        <v>303</v>
      </c>
      <c r="C53" t="s">
        <v>304</v>
      </c>
      <c r="D53">
        <v>239.7</v>
      </c>
      <c r="E53">
        <v>255</v>
      </c>
      <c r="F53">
        <v>239.7</v>
      </c>
      <c r="G53" t="str">
        <f t="shared" si="0"/>
        <v>AzureWebColor</v>
      </c>
      <c r="H53" t="str">
        <f t="shared" si="1"/>
        <v>F0FFFF</v>
      </c>
      <c r="I53" t="str">
        <f t="shared" si="2"/>
        <v>F0</v>
      </c>
      <c r="J53" t="str">
        <f t="shared" si="3"/>
        <v>FF</v>
      </c>
      <c r="K53" t="str">
        <f t="shared" si="4"/>
        <v>FF</v>
      </c>
      <c r="L53">
        <f t="shared" si="5"/>
        <v>240</v>
      </c>
      <c r="M53">
        <f t="shared" si="6"/>
        <v>255</v>
      </c>
      <c r="N53">
        <f t="shared" si="7"/>
        <v>255</v>
      </c>
      <c r="P53" t="str">
        <f t="shared" si="8"/>
        <v>.AzureWebColor-bg{background-color:#F0FFFF;}</v>
      </c>
    </row>
    <row r="54" spans="2:16" ht="15.75">
      <c r="B54" s="1" t="s">
        <v>305</v>
      </c>
      <c r="C54" t="s">
        <v>304</v>
      </c>
      <c r="D54">
        <v>239.7</v>
      </c>
      <c r="E54">
        <v>255</v>
      </c>
      <c r="F54">
        <v>239.7</v>
      </c>
      <c r="G54" t="str">
        <f t="shared" si="0"/>
        <v>AzureMist</v>
      </c>
      <c r="H54" t="str">
        <f t="shared" si="1"/>
        <v>F0FFFF</v>
      </c>
      <c r="I54" t="str">
        <f t="shared" si="2"/>
        <v>F0</v>
      </c>
      <c r="J54" t="str">
        <f t="shared" si="3"/>
        <v>FF</v>
      </c>
      <c r="K54" t="str">
        <f t="shared" si="4"/>
        <v>FF</v>
      </c>
      <c r="L54">
        <f t="shared" si="5"/>
        <v>240</v>
      </c>
      <c r="M54">
        <f t="shared" si="6"/>
        <v>255</v>
      </c>
      <c r="N54">
        <f t="shared" si="7"/>
        <v>255</v>
      </c>
      <c r="P54" t="str">
        <f t="shared" si="8"/>
        <v>.AzureMist-bg{background-color:#F0FFFF;}</v>
      </c>
    </row>
    <row r="55" spans="2:16" ht="15.75">
      <c r="B55" s="1" t="s">
        <v>306</v>
      </c>
      <c r="C55" t="s">
        <v>307</v>
      </c>
      <c r="D55">
        <v>219.3</v>
      </c>
      <c r="E55">
        <v>232.05</v>
      </c>
      <c r="F55">
        <v>219.3</v>
      </c>
      <c r="G55" t="str">
        <f t="shared" si="0"/>
        <v>AzureishWhite</v>
      </c>
      <c r="H55" t="str">
        <f t="shared" si="1"/>
        <v>DBE9F4</v>
      </c>
      <c r="I55" t="str">
        <f t="shared" si="2"/>
        <v>DB</v>
      </c>
      <c r="J55" t="str">
        <f t="shared" si="3"/>
        <v>E9</v>
      </c>
      <c r="K55" t="str">
        <f t="shared" si="4"/>
        <v>F4</v>
      </c>
      <c r="L55">
        <f t="shared" si="5"/>
        <v>219</v>
      </c>
      <c r="M55">
        <f t="shared" si="6"/>
        <v>233</v>
      </c>
      <c r="N55">
        <f t="shared" si="7"/>
        <v>244</v>
      </c>
      <c r="P55" t="str">
        <f t="shared" si="8"/>
        <v>.AzureishWhite-bg{background-color:#DBE9F4;}</v>
      </c>
    </row>
    <row r="56" spans="2:16" ht="15.75">
      <c r="B56" s="1" t="s">
        <v>308</v>
      </c>
      <c r="C56" t="s">
        <v>309</v>
      </c>
      <c r="D56">
        <v>137.69999999999999</v>
      </c>
      <c r="E56">
        <v>206.55</v>
      </c>
      <c r="F56">
        <v>137.69999999999999</v>
      </c>
      <c r="G56" t="str">
        <f t="shared" si="0"/>
        <v>BabyBlue</v>
      </c>
      <c r="H56" t="str">
        <f t="shared" si="1"/>
        <v>89CFF0</v>
      </c>
      <c r="I56" t="str">
        <f t="shared" si="2"/>
        <v>89</v>
      </c>
      <c r="J56" t="str">
        <f t="shared" si="3"/>
        <v>CF</v>
      </c>
      <c r="K56" t="str">
        <f t="shared" si="4"/>
        <v>F0</v>
      </c>
      <c r="L56">
        <f t="shared" si="5"/>
        <v>137</v>
      </c>
      <c r="M56">
        <f t="shared" si="6"/>
        <v>207</v>
      </c>
      <c r="N56">
        <f t="shared" si="7"/>
        <v>240</v>
      </c>
      <c r="P56" t="str">
        <f t="shared" si="8"/>
        <v>.BabyBlue-bg{background-color:#89CFF0;}</v>
      </c>
    </row>
    <row r="57" spans="2:16" ht="15.75">
      <c r="B57" s="1" t="s">
        <v>310</v>
      </c>
      <c r="C57" t="s">
        <v>311</v>
      </c>
      <c r="D57">
        <v>160.65</v>
      </c>
      <c r="E57">
        <v>201.45</v>
      </c>
      <c r="F57">
        <v>160.65</v>
      </c>
      <c r="G57" t="str">
        <f t="shared" si="0"/>
        <v>BabyBlueEyes</v>
      </c>
      <c r="H57" t="str">
        <f t="shared" si="1"/>
        <v>A1CAF1</v>
      </c>
      <c r="I57" t="str">
        <f t="shared" si="2"/>
        <v>A1</v>
      </c>
      <c r="J57" t="str">
        <f t="shared" si="3"/>
        <v>CA</v>
      </c>
      <c r="K57" t="str">
        <f t="shared" si="4"/>
        <v>F1</v>
      </c>
      <c r="L57">
        <f t="shared" si="5"/>
        <v>161</v>
      </c>
      <c r="M57">
        <f t="shared" si="6"/>
        <v>202</v>
      </c>
      <c r="N57">
        <f t="shared" si="7"/>
        <v>241</v>
      </c>
      <c r="P57" t="str">
        <f t="shared" si="8"/>
        <v>.BabyBlueEyes-bg{background-color:#A1CAF1;}</v>
      </c>
    </row>
    <row r="58" spans="2:16" ht="15.75">
      <c r="B58" s="1" t="s">
        <v>312</v>
      </c>
      <c r="C58" t="s">
        <v>313</v>
      </c>
      <c r="D58">
        <v>244.8</v>
      </c>
      <c r="E58">
        <v>193.8</v>
      </c>
      <c r="F58">
        <v>244.8</v>
      </c>
      <c r="G58" t="str">
        <f t="shared" si="0"/>
        <v>BabyPink</v>
      </c>
      <c r="H58" t="str">
        <f t="shared" si="1"/>
        <v>F4C2C2</v>
      </c>
      <c r="I58" t="str">
        <f t="shared" si="2"/>
        <v>F4</v>
      </c>
      <c r="J58" t="str">
        <f t="shared" si="3"/>
        <v>C2</v>
      </c>
      <c r="K58" t="str">
        <f t="shared" si="4"/>
        <v>C2</v>
      </c>
      <c r="L58">
        <f t="shared" si="5"/>
        <v>244</v>
      </c>
      <c r="M58">
        <f t="shared" si="6"/>
        <v>194</v>
      </c>
      <c r="N58">
        <f t="shared" si="7"/>
        <v>194</v>
      </c>
      <c r="P58" t="str">
        <f t="shared" si="8"/>
        <v>.BabyPink-bg{background-color:#F4C2C2;}</v>
      </c>
    </row>
    <row r="59" spans="2:16" ht="15.75">
      <c r="B59" s="1" t="s">
        <v>314</v>
      </c>
      <c r="C59" t="s">
        <v>315</v>
      </c>
      <c r="D59">
        <v>255</v>
      </c>
      <c r="E59">
        <v>255</v>
      </c>
      <c r="F59">
        <v>255</v>
      </c>
      <c r="G59" t="str">
        <f t="shared" si="0"/>
        <v>BabyPowder</v>
      </c>
      <c r="H59" t="str">
        <f t="shared" si="1"/>
        <v>FEFEFA</v>
      </c>
      <c r="I59" t="str">
        <f t="shared" si="2"/>
        <v>FE</v>
      </c>
      <c r="J59" t="str">
        <f t="shared" si="3"/>
        <v>FE</v>
      </c>
      <c r="K59" t="str">
        <f t="shared" si="4"/>
        <v>FA</v>
      </c>
      <c r="L59">
        <f t="shared" si="5"/>
        <v>254</v>
      </c>
      <c r="M59">
        <f t="shared" si="6"/>
        <v>254</v>
      </c>
      <c r="N59">
        <f t="shared" si="7"/>
        <v>250</v>
      </c>
      <c r="P59" t="str">
        <f t="shared" si="8"/>
        <v>.BabyPowder-bg{background-color:#FEFEFA;}</v>
      </c>
    </row>
    <row r="60" spans="2:16" ht="15.75">
      <c r="B60" s="1" t="s">
        <v>316</v>
      </c>
      <c r="C60" t="s">
        <v>317</v>
      </c>
      <c r="D60">
        <v>255</v>
      </c>
      <c r="E60">
        <v>145.35</v>
      </c>
      <c r="F60">
        <v>255</v>
      </c>
      <c r="G60" t="str">
        <f t="shared" si="0"/>
        <v>BakermillerPink</v>
      </c>
      <c r="H60" t="str">
        <f t="shared" si="1"/>
        <v>FF91AF</v>
      </c>
      <c r="I60" t="str">
        <f t="shared" si="2"/>
        <v>FF</v>
      </c>
      <c r="J60" t="str">
        <f t="shared" si="3"/>
        <v>91</v>
      </c>
      <c r="K60" t="str">
        <f t="shared" si="4"/>
        <v>AF</v>
      </c>
      <c r="L60">
        <f t="shared" si="5"/>
        <v>255</v>
      </c>
      <c r="M60">
        <f t="shared" si="6"/>
        <v>145</v>
      </c>
      <c r="N60">
        <f t="shared" si="7"/>
        <v>175</v>
      </c>
      <c r="P60" t="str">
        <f t="shared" si="8"/>
        <v>.BakermillerPink-bg{background-color:#FF91AF;}</v>
      </c>
    </row>
    <row r="61" spans="2:16" ht="15.75">
      <c r="B61" s="1" t="s">
        <v>318</v>
      </c>
      <c r="C61" t="s">
        <v>319</v>
      </c>
      <c r="D61">
        <v>33.15</v>
      </c>
      <c r="E61">
        <v>170.85</v>
      </c>
      <c r="F61">
        <v>33.15</v>
      </c>
      <c r="G61" t="str">
        <f t="shared" si="0"/>
        <v>BallBlue</v>
      </c>
      <c r="H61" t="str">
        <f t="shared" si="1"/>
        <v>21ABCD</v>
      </c>
      <c r="I61" t="str">
        <f t="shared" si="2"/>
        <v>21</v>
      </c>
      <c r="J61" t="str">
        <f t="shared" si="3"/>
        <v>AB</v>
      </c>
      <c r="K61" t="str">
        <f t="shared" si="4"/>
        <v>CD</v>
      </c>
      <c r="L61">
        <f t="shared" si="5"/>
        <v>33</v>
      </c>
      <c r="M61">
        <f t="shared" si="6"/>
        <v>171</v>
      </c>
      <c r="N61">
        <f t="shared" si="7"/>
        <v>205</v>
      </c>
      <c r="P61" t="str">
        <f t="shared" si="8"/>
        <v>.BallBlue-bg{background-color:#21ABCD;}</v>
      </c>
    </row>
    <row r="62" spans="2:16" ht="15.75">
      <c r="B62" s="1" t="s">
        <v>320</v>
      </c>
      <c r="C62" t="s">
        <v>321</v>
      </c>
      <c r="D62">
        <v>249.9</v>
      </c>
      <c r="E62">
        <v>232.05</v>
      </c>
      <c r="F62">
        <v>249.9</v>
      </c>
      <c r="G62" t="str">
        <f t="shared" si="0"/>
        <v>BananaMania</v>
      </c>
      <c r="H62" t="str">
        <f t="shared" si="1"/>
        <v>FAE7B5</v>
      </c>
      <c r="I62" t="str">
        <f t="shared" si="2"/>
        <v>FA</v>
      </c>
      <c r="J62" t="str">
        <f t="shared" si="3"/>
        <v>E7</v>
      </c>
      <c r="K62" t="str">
        <f t="shared" si="4"/>
        <v>B5</v>
      </c>
      <c r="L62">
        <f t="shared" si="5"/>
        <v>250</v>
      </c>
      <c r="M62">
        <f t="shared" si="6"/>
        <v>231</v>
      </c>
      <c r="N62">
        <f t="shared" si="7"/>
        <v>181</v>
      </c>
      <c r="P62" t="str">
        <f t="shared" si="8"/>
        <v>.BananaMania-bg{background-color:#FAE7B5;}</v>
      </c>
    </row>
    <row r="63" spans="2:16" ht="15.75">
      <c r="B63" s="1" t="s">
        <v>322</v>
      </c>
      <c r="C63" t="s">
        <v>323</v>
      </c>
      <c r="D63">
        <v>255</v>
      </c>
      <c r="E63">
        <v>224.4</v>
      </c>
      <c r="F63">
        <v>255</v>
      </c>
      <c r="G63" t="str">
        <f t="shared" si="0"/>
        <v>BananaYellow</v>
      </c>
      <c r="H63" t="str">
        <f t="shared" si="1"/>
        <v>FFE135</v>
      </c>
      <c r="I63" t="str">
        <f t="shared" si="2"/>
        <v>FF</v>
      </c>
      <c r="J63" t="str">
        <f t="shared" si="3"/>
        <v>E1</v>
      </c>
      <c r="K63" t="str">
        <f t="shared" si="4"/>
        <v>35</v>
      </c>
      <c r="L63">
        <f t="shared" si="5"/>
        <v>255</v>
      </c>
      <c r="M63">
        <f t="shared" si="6"/>
        <v>225</v>
      </c>
      <c r="N63">
        <f t="shared" si="7"/>
        <v>53</v>
      </c>
      <c r="P63" t="str">
        <f t="shared" si="8"/>
        <v>.BananaYellow-bg{background-color:#FFE135;}</v>
      </c>
    </row>
    <row r="64" spans="2:16" ht="15.75">
      <c r="B64" s="1" t="s">
        <v>324</v>
      </c>
      <c r="C64" t="s">
        <v>325</v>
      </c>
      <c r="D64">
        <v>0</v>
      </c>
      <c r="E64">
        <v>107.1</v>
      </c>
      <c r="F64">
        <v>0</v>
      </c>
      <c r="G64" t="str">
        <f t="shared" si="0"/>
        <v>BangladeshGreen</v>
      </c>
      <c r="H64" t="str">
        <f t="shared" si="1"/>
        <v>006A4E</v>
      </c>
      <c r="I64" t="str">
        <f t="shared" si="2"/>
        <v>00</v>
      </c>
      <c r="J64" t="str">
        <f t="shared" si="3"/>
        <v>6A</v>
      </c>
      <c r="K64" t="str">
        <f t="shared" si="4"/>
        <v>4E</v>
      </c>
      <c r="L64">
        <f t="shared" si="5"/>
        <v>0</v>
      </c>
      <c r="M64">
        <f t="shared" si="6"/>
        <v>106</v>
      </c>
      <c r="N64">
        <f t="shared" si="7"/>
        <v>78</v>
      </c>
      <c r="P64" t="str">
        <f t="shared" si="8"/>
        <v>.BangladeshGreen-bg{background-color:#006A4E;}</v>
      </c>
    </row>
    <row r="65" spans="2:16" ht="15.75">
      <c r="B65" s="1" t="s">
        <v>326</v>
      </c>
      <c r="C65" t="s">
        <v>327</v>
      </c>
      <c r="D65">
        <v>224.4</v>
      </c>
      <c r="E65">
        <v>33.15</v>
      </c>
      <c r="F65">
        <v>224.4</v>
      </c>
      <c r="G65" t="str">
        <f t="shared" si="0"/>
        <v>BarbiePink</v>
      </c>
      <c r="H65" t="str">
        <f t="shared" si="1"/>
        <v>E0218A</v>
      </c>
      <c r="I65" t="str">
        <f t="shared" si="2"/>
        <v>E0</v>
      </c>
      <c r="J65" t="str">
        <f t="shared" si="3"/>
        <v>21</v>
      </c>
      <c r="K65" t="str">
        <f t="shared" si="4"/>
        <v>8A</v>
      </c>
      <c r="L65">
        <f t="shared" si="5"/>
        <v>224</v>
      </c>
      <c r="M65">
        <f t="shared" si="6"/>
        <v>33</v>
      </c>
      <c r="N65">
        <f t="shared" si="7"/>
        <v>138</v>
      </c>
      <c r="P65" t="str">
        <f t="shared" si="8"/>
        <v>.BarbiePink-bg{background-color:#E0218A;}</v>
      </c>
    </row>
    <row r="66" spans="2:16" ht="15.75">
      <c r="B66" s="1" t="s">
        <v>328</v>
      </c>
      <c r="C66" t="s">
        <v>329</v>
      </c>
      <c r="D66">
        <v>124.95</v>
      </c>
      <c r="E66">
        <v>10.199999999999999</v>
      </c>
      <c r="F66">
        <v>124.95</v>
      </c>
      <c r="G66" t="str">
        <f t="shared" si="0"/>
        <v>BarnRed</v>
      </c>
      <c r="H66" t="str">
        <f t="shared" si="1"/>
        <v>7C0A02</v>
      </c>
      <c r="I66" t="str">
        <f t="shared" si="2"/>
        <v>7C</v>
      </c>
      <c r="J66" t="str">
        <f t="shared" si="3"/>
        <v>0A</v>
      </c>
      <c r="K66" t="str">
        <f t="shared" si="4"/>
        <v>02</v>
      </c>
      <c r="L66">
        <f t="shared" si="5"/>
        <v>124</v>
      </c>
      <c r="M66">
        <f t="shared" si="6"/>
        <v>10</v>
      </c>
      <c r="N66">
        <f t="shared" si="7"/>
        <v>2</v>
      </c>
      <c r="P66" t="str">
        <f t="shared" si="8"/>
        <v>.BarnRed-bg{background-color:#7C0A02;}</v>
      </c>
    </row>
    <row r="67" spans="2:16" ht="15.75">
      <c r="B67" s="1" t="s">
        <v>330</v>
      </c>
      <c r="C67" t="s">
        <v>331</v>
      </c>
      <c r="D67">
        <v>132.6</v>
      </c>
      <c r="E67">
        <v>132.6</v>
      </c>
      <c r="F67">
        <v>132.6</v>
      </c>
      <c r="G67" t="str">
        <f t="shared" si="0"/>
        <v>BattleshipGrey</v>
      </c>
      <c r="H67" t="str">
        <f t="shared" si="1"/>
        <v>848482</v>
      </c>
      <c r="I67" t="str">
        <f t="shared" si="2"/>
        <v>84</v>
      </c>
      <c r="J67" t="str">
        <f t="shared" si="3"/>
        <v>84</v>
      </c>
      <c r="K67" t="str">
        <f t="shared" si="4"/>
        <v>82</v>
      </c>
      <c r="L67">
        <f t="shared" si="5"/>
        <v>132</v>
      </c>
      <c r="M67">
        <f t="shared" si="6"/>
        <v>132</v>
      </c>
      <c r="N67">
        <f t="shared" si="7"/>
        <v>130</v>
      </c>
      <c r="P67" t="str">
        <f t="shared" si="8"/>
        <v>.BattleshipGrey-bg{background-color:#848482;}</v>
      </c>
    </row>
    <row r="68" spans="2:16" ht="15.75">
      <c r="B68" s="1" t="s">
        <v>332</v>
      </c>
      <c r="C68" t="s">
        <v>333</v>
      </c>
      <c r="D68">
        <v>153</v>
      </c>
      <c r="E68">
        <v>119.85</v>
      </c>
      <c r="F68">
        <v>153</v>
      </c>
      <c r="G68" t="str">
        <f t="shared" ref="G68:G131" si="9">SUBSTITUTE(PROPER(AlphaNumericOnly(B68))," ","")</f>
        <v>Bazaar</v>
      </c>
      <c r="H68" t="str">
        <f t="shared" ref="H68:H131" si="10">RIGHT(C68,6)</f>
        <v>98777B</v>
      </c>
      <c r="I68" t="str">
        <f t="shared" ref="I68:I131" si="11">MID($H68,1,2)</f>
        <v>98</v>
      </c>
      <c r="J68" t="str">
        <f t="shared" ref="J68:J131" si="12">MID($H68,3,2)</f>
        <v>77</v>
      </c>
      <c r="K68" t="str">
        <f t="shared" ref="K68:K131" si="13">MID($H68,5,2)</f>
        <v>7B</v>
      </c>
      <c r="L68">
        <f t="shared" ref="L68:L131" si="14">HEX2DEC(I68)</f>
        <v>152</v>
      </c>
      <c r="M68">
        <f t="shared" ref="M68:M131" si="15">HEX2DEC(J68)</f>
        <v>119</v>
      </c>
      <c r="N68">
        <f t="shared" ref="N68:N131" si="16">HEX2DEC(K68)</f>
        <v>123</v>
      </c>
      <c r="P68" t="str">
        <f t="shared" ref="P68:P131" si="17">"."&amp;G68&amp;$P$1&amp;"{"&amp;$P$2&amp;":#"&amp;H68&amp;";}"</f>
        <v>.Bazaar-bg{background-color:#98777B;}</v>
      </c>
    </row>
    <row r="69" spans="2:16" ht="15.75">
      <c r="B69" s="1" t="s">
        <v>334</v>
      </c>
      <c r="C69" t="s">
        <v>335</v>
      </c>
      <c r="D69">
        <v>188.7</v>
      </c>
      <c r="E69">
        <v>211.65</v>
      </c>
      <c r="F69">
        <v>188.7</v>
      </c>
      <c r="G69" t="str">
        <f t="shared" si="9"/>
        <v>BeauBlue</v>
      </c>
      <c r="H69" t="str">
        <f t="shared" si="10"/>
        <v>BCD4E6</v>
      </c>
      <c r="I69" t="str">
        <f t="shared" si="11"/>
        <v>BC</v>
      </c>
      <c r="J69" t="str">
        <f t="shared" si="12"/>
        <v>D4</v>
      </c>
      <c r="K69" t="str">
        <f t="shared" si="13"/>
        <v>E6</v>
      </c>
      <c r="L69">
        <f t="shared" si="14"/>
        <v>188</v>
      </c>
      <c r="M69">
        <f t="shared" si="15"/>
        <v>212</v>
      </c>
      <c r="N69">
        <f t="shared" si="16"/>
        <v>230</v>
      </c>
      <c r="P69" t="str">
        <f t="shared" si="17"/>
        <v>.BeauBlue-bg{background-color:#BCD4E6;}</v>
      </c>
    </row>
    <row r="70" spans="2:16" ht="15.75">
      <c r="B70" s="1" t="s">
        <v>336</v>
      </c>
      <c r="C70" t="s">
        <v>337</v>
      </c>
      <c r="D70">
        <v>158.1</v>
      </c>
      <c r="E70">
        <v>130.05000000000001</v>
      </c>
      <c r="F70">
        <v>158.1</v>
      </c>
      <c r="G70" t="str">
        <f t="shared" si="9"/>
        <v>Beaver</v>
      </c>
      <c r="H70" t="str">
        <f t="shared" si="10"/>
        <v>9F8170</v>
      </c>
      <c r="I70" t="str">
        <f t="shared" si="11"/>
        <v>9F</v>
      </c>
      <c r="J70" t="str">
        <f t="shared" si="12"/>
        <v>81</v>
      </c>
      <c r="K70" t="str">
        <f t="shared" si="13"/>
        <v>70</v>
      </c>
      <c r="L70">
        <f t="shared" si="14"/>
        <v>159</v>
      </c>
      <c r="M70">
        <f t="shared" si="15"/>
        <v>129</v>
      </c>
      <c r="N70">
        <f t="shared" si="16"/>
        <v>112</v>
      </c>
      <c r="P70" t="str">
        <f t="shared" si="17"/>
        <v>.Beaver-bg{background-color:#9F8170;}</v>
      </c>
    </row>
    <row r="71" spans="2:16" ht="15.75">
      <c r="B71" s="1" t="s">
        <v>338</v>
      </c>
      <c r="C71" t="s">
        <v>339</v>
      </c>
      <c r="D71">
        <v>244.8</v>
      </c>
      <c r="E71">
        <v>244.8</v>
      </c>
      <c r="F71">
        <v>244.8</v>
      </c>
      <c r="G71" t="str">
        <f t="shared" si="9"/>
        <v>Beige</v>
      </c>
      <c r="H71" t="str">
        <f t="shared" si="10"/>
        <v>F5F5DC</v>
      </c>
      <c r="I71" t="str">
        <f t="shared" si="11"/>
        <v>F5</v>
      </c>
      <c r="J71" t="str">
        <f t="shared" si="12"/>
        <v>F5</v>
      </c>
      <c r="K71" t="str">
        <f t="shared" si="13"/>
        <v>DC</v>
      </c>
      <c r="L71">
        <f t="shared" si="14"/>
        <v>245</v>
      </c>
      <c r="M71">
        <f t="shared" si="15"/>
        <v>245</v>
      </c>
      <c r="N71">
        <f t="shared" si="16"/>
        <v>220</v>
      </c>
      <c r="P71" t="str">
        <f t="shared" si="17"/>
        <v>.Beige-bg{background-color:#F5F5DC;}</v>
      </c>
    </row>
    <row r="72" spans="2:16" ht="15.75">
      <c r="B72" s="1" t="s">
        <v>340</v>
      </c>
      <c r="C72" t="s">
        <v>341</v>
      </c>
      <c r="D72">
        <v>173.4</v>
      </c>
      <c r="E72">
        <v>216.75</v>
      </c>
      <c r="F72">
        <v>173.4</v>
      </c>
      <c r="G72" t="str">
        <f t="shared" si="9"/>
        <v>Belgion</v>
      </c>
      <c r="H72" t="str">
        <f t="shared" si="10"/>
        <v>ADD8FF</v>
      </c>
      <c r="I72" t="str">
        <f t="shared" si="11"/>
        <v>AD</v>
      </c>
      <c r="J72" t="str">
        <f t="shared" si="12"/>
        <v>D8</v>
      </c>
      <c r="K72" t="str">
        <f t="shared" si="13"/>
        <v>FF</v>
      </c>
      <c r="L72">
        <f t="shared" si="14"/>
        <v>173</v>
      </c>
      <c r="M72">
        <f t="shared" si="15"/>
        <v>216</v>
      </c>
      <c r="N72">
        <f t="shared" si="16"/>
        <v>255</v>
      </c>
      <c r="P72" t="str">
        <f t="shared" si="17"/>
        <v>.Belgion-bg{background-color:#ADD8FF;}</v>
      </c>
    </row>
    <row r="73" spans="2:16" ht="15.75">
      <c r="B73" s="1" t="s">
        <v>342</v>
      </c>
      <c r="C73" t="s">
        <v>343</v>
      </c>
      <c r="D73">
        <v>45.9</v>
      </c>
      <c r="E73">
        <v>89.25</v>
      </c>
      <c r="F73">
        <v>45.9</v>
      </c>
      <c r="G73" t="str">
        <f t="shared" si="9"/>
        <v>BdazzledBlue</v>
      </c>
      <c r="H73" t="str">
        <f t="shared" si="10"/>
        <v>2E5894</v>
      </c>
      <c r="I73" t="str">
        <f t="shared" si="11"/>
        <v>2E</v>
      </c>
      <c r="J73" t="str">
        <f t="shared" si="12"/>
        <v>58</v>
      </c>
      <c r="K73" t="str">
        <f t="shared" si="13"/>
        <v>94</v>
      </c>
      <c r="L73">
        <f t="shared" si="14"/>
        <v>46</v>
      </c>
      <c r="M73">
        <f t="shared" si="15"/>
        <v>88</v>
      </c>
      <c r="N73">
        <f t="shared" si="16"/>
        <v>148</v>
      </c>
      <c r="P73" t="str">
        <f t="shared" si="17"/>
        <v>.BdazzledBlue-bg{background-color:#2E5894;}</v>
      </c>
    </row>
    <row r="74" spans="2:16" ht="15.75">
      <c r="B74" s="1" t="s">
        <v>344</v>
      </c>
      <c r="C74" t="s">
        <v>345</v>
      </c>
      <c r="D74">
        <v>155.55000000000001</v>
      </c>
      <c r="E74">
        <v>38.25</v>
      </c>
      <c r="F74">
        <v>155.55000000000001</v>
      </c>
      <c r="G74" t="str">
        <f t="shared" si="9"/>
        <v>BigDipOruby</v>
      </c>
      <c r="H74" t="str">
        <f t="shared" si="10"/>
        <v>9C2542</v>
      </c>
      <c r="I74" t="str">
        <f t="shared" si="11"/>
        <v>9C</v>
      </c>
      <c r="J74" t="str">
        <f t="shared" si="12"/>
        <v>25</v>
      </c>
      <c r="K74" t="str">
        <f t="shared" si="13"/>
        <v>42</v>
      </c>
      <c r="L74">
        <f t="shared" si="14"/>
        <v>156</v>
      </c>
      <c r="M74">
        <f t="shared" si="15"/>
        <v>37</v>
      </c>
      <c r="N74">
        <f t="shared" si="16"/>
        <v>66</v>
      </c>
      <c r="P74" t="str">
        <f t="shared" si="17"/>
        <v>.BigDipOruby-bg{background-color:#9C2542;}</v>
      </c>
    </row>
    <row r="75" spans="2:16" ht="15.75">
      <c r="B75" s="1" t="s">
        <v>346</v>
      </c>
      <c r="C75" t="s">
        <v>347</v>
      </c>
      <c r="D75">
        <v>232.05</v>
      </c>
      <c r="E75">
        <v>142.80000000000001</v>
      </c>
      <c r="F75">
        <v>232.05</v>
      </c>
      <c r="G75" t="str">
        <f t="shared" si="9"/>
        <v>BigFootFeet</v>
      </c>
      <c r="H75" t="str">
        <f t="shared" si="10"/>
        <v>E88E5A</v>
      </c>
      <c r="I75" t="str">
        <f t="shared" si="11"/>
        <v>E8</v>
      </c>
      <c r="J75" t="str">
        <f t="shared" si="12"/>
        <v>8E</v>
      </c>
      <c r="K75" t="str">
        <f t="shared" si="13"/>
        <v>5A</v>
      </c>
      <c r="L75">
        <f t="shared" si="14"/>
        <v>232</v>
      </c>
      <c r="M75">
        <f t="shared" si="15"/>
        <v>142</v>
      </c>
      <c r="N75">
        <f t="shared" si="16"/>
        <v>90</v>
      </c>
      <c r="P75" t="str">
        <f t="shared" si="17"/>
        <v>.BigFootFeet-bg{background-color:#E88E5A;}</v>
      </c>
    </row>
    <row r="76" spans="2:16" ht="15.75">
      <c r="B76" s="1" t="s">
        <v>348</v>
      </c>
      <c r="C76" t="s">
        <v>349</v>
      </c>
      <c r="D76">
        <v>255</v>
      </c>
      <c r="E76">
        <v>226.95</v>
      </c>
      <c r="F76">
        <v>255</v>
      </c>
      <c r="G76" t="str">
        <f t="shared" si="9"/>
        <v>Bisque</v>
      </c>
      <c r="H76" t="str">
        <f t="shared" si="10"/>
        <v>FFE4C4</v>
      </c>
      <c r="I76" t="str">
        <f t="shared" si="11"/>
        <v>FF</v>
      </c>
      <c r="J76" t="str">
        <f t="shared" si="12"/>
        <v>E4</v>
      </c>
      <c r="K76" t="str">
        <f t="shared" si="13"/>
        <v>C4</v>
      </c>
      <c r="L76">
        <f t="shared" si="14"/>
        <v>255</v>
      </c>
      <c r="M76">
        <f t="shared" si="15"/>
        <v>228</v>
      </c>
      <c r="N76">
        <f t="shared" si="16"/>
        <v>196</v>
      </c>
      <c r="P76" t="str">
        <f t="shared" si="17"/>
        <v>.Bisque-bg{background-color:#FFE4C4;}</v>
      </c>
    </row>
    <row r="77" spans="2:16" ht="15.75">
      <c r="B77" s="1" t="s">
        <v>350</v>
      </c>
      <c r="C77" t="s">
        <v>351</v>
      </c>
      <c r="D77">
        <v>61.2</v>
      </c>
      <c r="E77">
        <v>43.35</v>
      </c>
      <c r="F77">
        <v>61.2</v>
      </c>
      <c r="G77" t="str">
        <f t="shared" si="9"/>
        <v>Bistre</v>
      </c>
      <c r="H77" t="str">
        <f t="shared" si="10"/>
        <v>3D2B1F</v>
      </c>
      <c r="I77" t="str">
        <f t="shared" si="11"/>
        <v>3D</v>
      </c>
      <c r="J77" t="str">
        <f t="shared" si="12"/>
        <v>2B</v>
      </c>
      <c r="K77" t="str">
        <f t="shared" si="13"/>
        <v>1F</v>
      </c>
      <c r="L77">
        <f t="shared" si="14"/>
        <v>61</v>
      </c>
      <c r="M77">
        <f t="shared" si="15"/>
        <v>43</v>
      </c>
      <c r="N77">
        <f t="shared" si="16"/>
        <v>31</v>
      </c>
      <c r="P77" t="str">
        <f t="shared" si="17"/>
        <v>.Bistre-bg{background-color:#3D2B1F;}</v>
      </c>
    </row>
    <row r="78" spans="2:16" ht="15.75">
      <c r="B78" s="1" t="s">
        <v>352</v>
      </c>
      <c r="C78" t="s">
        <v>353</v>
      </c>
      <c r="D78">
        <v>150.44999999999999</v>
      </c>
      <c r="E78">
        <v>112.2</v>
      </c>
      <c r="F78">
        <v>150.44999999999999</v>
      </c>
      <c r="G78" t="str">
        <f t="shared" si="9"/>
        <v>BistreBrown</v>
      </c>
      <c r="H78" t="str">
        <f t="shared" si="10"/>
        <v>967117</v>
      </c>
      <c r="I78" t="str">
        <f t="shared" si="11"/>
        <v>96</v>
      </c>
      <c r="J78" t="str">
        <f t="shared" si="12"/>
        <v>71</v>
      </c>
      <c r="K78" t="str">
        <f t="shared" si="13"/>
        <v>17</v>
      </c>
      <c r="L78">
        <f t="shared" si="14"/>
        <v>150</v>
      </c>
      <c r="M78">
        <f t="shared" si="15"/>
        <v>113</v>
      </c>
      <c r="N78">
        <f t="shared" si="16"/>
        <v>23</v>
      </c>
      <c r="P78" t="str">
        <f t="shared" si="17"/>
        <v>.BistreBrown-bg{background-color:#967117;}</v>
      </c>
    </row>
    <row r="79" spans="2:16" ht="15.75">
      <c r="B79" s="1" t="s">
        <v>354</v>
      </c>
      <c r="C79" t="s">
        <v>355</v>
      </c>
      <c r="D79">
        <v>201.45</v>
      </c>
      <c r="E79">
        <v>224.4</v>
      </c>
      <c r="F79">
        <v>201.45</v>
      </c>
      <c r="G79" t="str">
        <f t="shared" si="9"/>
        <v>BitterLemon</v>
      </c>
      <c r="H79" t="str">
        <f t="shared" si="10"/>
        <v>CAE00D</v>
      </c>
      <c r="I79" t="str">
        <f t="shared" si="11"/>
        <v>CA</v>
      </c>
      <c r="J79" t="str">
        <f t="shared" si="12"/>
        <v>E0</v>
      </c>
      <c r="K79" t="str">
        <f t="shared" si="13"/>
        <v>0D</v>
      </c>
      <c r="L79">
        <f t="shared" si="14"/>
        <v>202</v>
      </c>
      <c r="M79">
        <f t="shared" si="15"/>
        <v>224</v>
      </c>
      <c r="N79">
        <f t="shared" si="16"/>
        <v>13</v>
      </c>
      <c r="P79" t="str">
        <f t="shared" si="17"/>
        <v>.BitterLemon-bg{background-color:#CAE00D;}</v>
      </c>
    </row>
    <row r="80" spans="2:16" ht="15.75">
      <c r="B80" s="1" t="s">
        <v>356</v>
      </c>
      <c r="C80" t="s">
        <v>357</v>
      </c>
      <c r="D80">
        <v>191.25</v>
      </c>
      <c r="E80">
        <v>255</v>
      </c>
      <c r="F80">
        <v>191.25</v>
      </c>
      <c r="G80" t="str">
        <f t="shared" si="9"/>
        <v>BitterLime</v>
      </c>
      <c r="H80" t="str">
        <f t="shared" si="10"/>
        <v>BFFF00</v>
      </c>
      <c r="I80" t="str">
        <f t="shared" si="11"/>
        <v>BF</v>
      </c>
      <c r="J80" t="str">
        <f t="shared" si="12"/>
        <v>FF</v>
      </c>
      <c r="K80" t="str">
        <f t="shared" si="13"/>
        <v>00</v>
      </c>
      <c r="L80">
        <f t="shared" si="14"/>
        <v>191</v>
      </c>
      <c r="M80">
        <f t="shared" si="15"/>
        <v>255</v>
      </c>
      <c r="N80">
        <f t="shared" si="16"/>
        <v>0</v>
      </c>
      <c r="P80" t="str">
        <f t="shared" si="17"/>
        <v>.BitterLime-bg{background-color:#BFFF00;}</v>
      </c>
    </row>
    <row r="81" spans="2:16" ht="15.75">
      <c r="B81" s="1" t="s">
        <v>358</v>
      </c>
      <c r="C81" t="s">
        <v>359</v>
      </c>
      <c r="D81">
        <v>255</v>
      </c>
      <c r="E81">
        <v>112.2</v>
      </c>
      <c r="F81">
        <v>255</v>
      </c>
      <c r="G81" t="str">
        <f t="shared" si="9"/>
        <v>Bittersweet</v>
      </c>
      <c r="H81" t="str">
        <f t="shared" si="10"/>
        <v>FE6F5E</v>
      </c>
      <c r="I81" t="str">
        <f t="shared" si="11"/>
        <v>FE</v>
      </c>
      <c r="J81" t="str">
        <f t="shared" si="12"/>
        <v>6F</v>
      </c>
      <c r="K81" t="str">
        <f t="shared" si="13"/>
        <v>5E</v>
      </c>
      <c r="L81">
        <f t="shared" si="14"/>
        <v>254</v>
      </c>
      <c r="M81">
        <f t="shared" si="15"/>
        <v>111</v>
      </c>
      <c r="N81">
        <f t="shared" si="16"/>
        <v>94</v>
      </c>
      <c r="P81" t="str">
        <f t="shared" si="17"/>
        <v>.Bittersweet-bg{background-color:#FE6F5E;}</v>
      </c>
    </row>
    <row r="82" spans="2:16" ht="15.75">
      <c r="B82" s="1" t="s">
        <v>360</v>
      </c>
      <c r="C82" t="s">
        <v>361</v>
      </c>
      <c r="D82">
        <v>191.25</v>
      </c>
      <c r="E82">
        <v>79.05</v>
      </c>
      <c r="F82">
        <v>191.25</v>
      </c>
      <c r="G82" t="str">
        <f t="shared" si="9"/>
        <v>BittersweetShimmer</v>
      </c>
      <c r="H82" t="str">
        <f t="shared" si="10"/>
        <v>BF4F51</v>
      </c>
      <c r="I82" t="str">
        <f t="shared" si="11"/>
        <v>BF</v>
      </c>
      <c r="J82" t="str">
        <f t="shared" si="12"/>
        <v>4F</v>
      </c>
      <c r="K82" t="str">
        <f t="shared" si="13"/>
        <v>51</v>
      </c>
      <c r="L82">
        <f t="shared" si="14"/>
        <v>191</v>
      </c>
      <c r="M82">
        <f t="shared" si="15"/>
        <v>79</v>
      </c>
      <c r="N82">
        <f t="shared" si="16"/>
        <v>81</v>
      </c>
      <c r="P82" t="str">
        <f t="shared" si="17"/>
        <v>.BittersweetShimmer-bg{background-color:#BF4F51;}</v>
      </c>
    </row>
    <row r="83" spans="2:16" ht="15.75">
      <c r="B83" s="1" t="s">
        <v>362</v>
      </c>
      <c r="C83" t="s">
        <v>363</v>
      </c>
      <c r="D83">
        <v>0</v>
      </c>
      <c r="E83">
        <v>0</v>
      </c>
      <c r="F83">
        <v>0</v>
      </c>
      <c r="G83" t="str">
        <f t="shared" si="9"/>
        <v>Black</v>
      </c>
      <c r="H83" t="str">
        <f t="shared" si="10"/>
        <v>000000</v>
      </c>
      <c r="I83" t="str">
        <f t="shared" si="11"/>
        <v>00</v>
      </c>
      <c r="J83" t="str">
        <f t="shared" si="12"/>
        <v>00</v>
      </c>
      <c r="K83" t="str">
        <f t="shared" si="13"/>
        <v>00</v>
      </c>
      <c r="L83">
        <f t="shared" si="14"/>
        <v>0</v>
      </c>
      <c r="M83">
        <f t="shared" si="15"/>
        <v>0</v>
      </c>
      <c r="N83">
        <f t="shared" si="16"/>
        <v>0</v>
      </c>
      <c r="P83" t="str">
        <f t="shared" si="17"/>
        <v>.Black-bg{background-color:#000000;}</v>
      </c>
    </row>
    <row r="84" spans="2:16" ht="15.75">
      <c r="B84" s="1" t="s">
        <v>364</v>
      </c>
      <c r="C84" t="s">
        <v>365</v>
      </c>
      <c r="D84">
        <v>61.2</v>
      </c>
      <c r="E84">
        <v>12.75</v>
      </c>
      <c r="F84">
        <v>61.2</v>
      </c>
      <c r="G84" t="str">
        <f t="shared" si="9"/>
        <v>BlackBean</v>
      </c>
      <c r="H84" t="str">
        <f t="shared" si="10"/>
        <v>3D0C02</v>
      </c>
      <c r="I84" t="str">
        <f t="shared" si="11"/>
        <v>3D</v>
      </c>
      <c r="J84" t="str">
        <f t="shared" si="12"/>
        <v>0C</v>
      </c>
      <c r="K84" t="str">
        <f t="shared" si="13"/>
        <v>02</v>
      </c>
      <c r="L84">
        <f t="shared" si="14"/>
        <v>61</v>
      </c>
      <c r="M84">
        <f t="shared" si="15"/>
        <v>12</v>
      </c>
      <c r="N84">
        <f t="shared" si="16"/>
        <v>2</v>
      </c>
      <c r="P84" t="str">
        <f t="shared" si="17"/>
        <v>.BlackBean-bg{background-color:#3D0C02;}</v>
      </c>
    </row>
    <row r="85" spans="2:16" ht="15.75">
      <c r="B85" s="1" t="s">
        <v>366</v>
      </c>
      <c r="C85" t="s">
        <v>367</v>
      </c>
      <c r="D85">
        <v>84.15</v>
      </c>
      <c r="E85">
        <v>96.9</v>
      </c>
      <c r="F85">
        <v>84.15</v>
      </c>
      <c r="G85" t="str">
        <f t="shared" si="9"/>
        <v>BlackCoral</v>
      </c>
      <c r="H85" t="str">
        <f t="shared" si="10"/>
        <v>54626F</v>
      </c>
      <c r="I85" t="str">
        <f t="shared" si="11"/>
        <v>54</v>
      </c>
      <c r="J85" t="str">
        <f t="shared" si="12"/>
        <v>62</v>
      </c>
      <c r="K85" t="str">
        <f t="shared" si="13"/>
        <v>6F</v>
      </c>
      <c r="L85">
        <f t="shared" si="14"/>
        <v>84</v>
      </c>
      <c r="M85">
        <f t="shared" si="15"/>
        <v>98</v>
      </c>
      <c r="N85">
        <f t="shared" si="16"/>
        <v>111</v>
      </c>
      <c r="P85" t="str">
        <f t="shared" si="17"/>
        <v>.BlackCoral-bg{background-color:#54626F;}</v>
      </c>
    </row>
    <row r="86" spans="2:16" ht="15.75">
      <c r="B86" s="1" t="s">
        <v>368</v>
      </c>
      <c r="C86" t="s">
        <v>369</v>
      </c>
      <c r="D86">
        <v>38.25</v>
      </c>
      <c r="E86">
        <v>53.55</v>
      </c>
      <c r="F86">
        <v>38.25</v>
      </c>
      <c r="G86" t="str">
        <f t="shared" si="9"/>
        <v>BlackLeatherJacket</v>
      </c>
      <c r="H86" t="str">
        <f t="shared" si="10"/>
        <v>253529</v>
      </c>
      <c r="I86" t="str">
        <f t="shared" si="11"/>
        <v>25</v>
      </c>
      <c r="J86" t="str">
        <f t="shared" si="12"/>
        <v>35</v>
      </c>
      <c r="K86" t="str">
        <f t="shared" si="13"/>
        <v>29</v>
      </c>
      <c r="L86">
        <f t="shared" si="14"/>
        <v>37</v>
      </c>
      <c r="M86">
        <f t="shared" si="15"/>
        <v>53</v>
      </c>
      <c r="N86">
        <f t="shared" si="16"/>
        <v>41</v>
      </c>
      <c r="P86" t="str">
        <f t="shared" si="17"/>
        <v>.BlackLeatherJacket-bg{background-color:#253529;}</v>
      </c>
    </row>
    <row r="87" spans="2:16" ht="15.75">
      <c r="B87" s="1" t="s">
        <v>370</v>
      </c>
      <c r="C87" t="s">
        <v>371</v>
      </c>
      <c r="D87">
        <v>58.65</v>
      </c>
      <c r="E87">
        <v>61.2</v>
      </c>
      <c r="F87">
        <v>58.65</v>
      </c>
      <c r="G87" t="str">
        <f t="shared" si="9"/>
        <v>BlackOlive</v>
      </c>
      <c r="H87" t="str">
        <f t="shared" si="10"/>
        <v>3B3C36</v>
      </c>
      <c r="I87" t="str">
        <f t="shared" si="11"/>
        <v>3B</v>
      </c>
      <c r="J87" t="str">
        <f t="shared" si="12"/>
        <v>3C</v>
      </c>
      <c r="K87" t="str">
        <f t="shared" si="13"/>
        <v>36</v>
      </c>
      <c r="L87">
        <f t="shared" si="14"/>
        <v>59</v>
      </c>
      <c r="M87">
        <f t="shared" si="15"/>
        <v>60</v>
      </c>
      <c r="N87">
        <f t="shared" si="16"/>
        <v>54</v>
      </c>
      <c r="P87" t="str">
        <f t="shared" si="17"/>
        <v>.BlackOlive-bg{background-color:#3B3C36;}</v>
      </c>
    </row>
    <row r="88" spans="2:16" ht="15.75">
      <c r="B88" s="1" t="s">
        <v>372</v>
      </c>
      <c r="C88" t="s">
        <v>373</v>
      </c>
      <c r="D88">
        <v>191.25</v>
      </c>
      <c r="E88">
        <v>175.95</v>
      </c>
      <c r="F88">
        <v>191.25</v>
      </c>
      <c r="G88" t="str">
        <f t="shared" si="9"/>
        <v>BlackShadows</v>
      </c>
      <c r="H88" t="str">
        <f t="shared" si="10"/>
        <v>BFAFB2</v>
      </c>
      <c r="I88" t="str">
        <f t="shared" si="11"/>
        <v>BF</v>
      </c>
      <c r="J88" t="str">
        <f t="shared" si="12"/>
        <v>AF</v>
      </c>
      <c r="K88" t="str">
        <f t="shared" si="13"/>
        <v>B2</v>
      </c>
      <c r="L88">
        <f t="shared" si="14"/>
        <v>191</v>
      </c>
      <c r="M88">
        <f t="shared" si="15"/>
        <v>175</v>
      </c>
      <c r="N88">
        <f t="shared" si="16"/>
        <v>178</v>
      </c>
      <c r="P88" t="str">
        <f t="shared" si="17"/>
        <v>.BlackShadows-bg{background-color:#BFAFB2;}</v>
      </c>
    </row>
    <row r="89" spans="2:16" ht="15.75">
      <c r="B89" s="1" t="s">
        <v>374</v>
      </c>
      <c r="C89" t="s">
        <v>375</v>
      </c>
      <c r="D89">
        <v>255</v>
      </c>
      <c r="E89">
        <v>234.6</v>
      </c>
      <c r="F89">
        <v>255</v>
      </c>
      <c r="G89" t="str">
        <f t="shared" si="9"/>
        <v>BlanchedAlmond</v>
      </c>
      <c r="H89" t="str">
        <f t="shared" si="10"/>
        <v>FFEBCD</v>
      </c>
      <c r="I89" t="str">
        <f t="shared" si="11"/>
        <v>FF</v>
      </c>
      <c r="J89" t="str">
        <f t="shared" si="12"/>
        <v>EB</v>
      </c>
      <c r="K89" t="str">
        <f t="shared" si="13"/>
        <v>CD</v>
      </c>
      <c r="L89">
        <f t="shared" si="14"/>
        <v>255</v>
      </c>
      <c r="M89">
        <f t="shared" si="15"/>
        <v>235</v>
      </c>
      <c r="N89">
        <f t="shared" si="16"/>
        <v>205</v>
      </c>
      <c r="P89" t="str">
        <f t="shared" si="17"/>
        <v>.BlanchedAlmond-bg{background-color:#FFEBCD;}</v>
      </c>
    </row>
    <row r="90" spans="2:16" ht="15.75">
      <c r="B90" s="1" t="s">
        <v>376</v>
      </c>
      <c r="C90" t="s">
        <v>377</v>
      </c>
      <c r="D90">
        <v>165.75</v>
      </c>
      <c r="E90">
        <v>112.2</v>
      </c>
      <c r="F90">
        <v>165.75</v>
      </c>
      <c r="G90" t="str">
        <f t="shared" si="9"/>
        <v>BlastoffBronze</v>
      </c>
      <c r="H90" t="str">
        <f t="shared" si="10"/>
        <v>A57164</v>
      </c>
      <c r="I90" t="str">
        <f t="shared" si="11"/>
        <v>A5</v>
      </c>
      <c r="J90" t="str">
        <f t="shared" si="12"/>
        <v>71</v>
      </c>
      <c r="K90" t="str">
        <f t="shared" si="13"/>
        <v>64</v>
      </c>
      <c r="L90">
        <f t="shared" si="14"/>
        <v>165</v>
      </c>
      <c r="M90">
        <f t="shared" si="15"/>
        <v>113</v>
      </c>
      <c r="N90">
        <f t="shared" si="16"/>
        <v>100</v>
      </c>
      <c r="P90" t="str">
        <f t="shared" si="17"/>
        <v>.BlastoffBronze-bg{background-color:#A57164;}</v>
      </c>
    </row>
    <row r="91" spans="2:16" ht="15.75">
      <c r="B91" s="1" t="s">
        <v>378</v>
      </c>
      <c r="C91" t="s">
        <v>379</v>
      </c>
      <c r="D91">
        <v>48.45</v>
      </c>
      <c r="E91">
        <v>140.25</v>
      </c>
      <c r="F91">
        <v>48.45</v>
      </c>
      <c r="G91" t="str">
        <f t="shared" si="9"/>
        <v>BleuDeFrance</v>
      </c>
      <c r="H91" t="str">
        <f t="shared" si="10"/>
        <v>318CE7</v>
      </c>
      <c r="I91" t="str">
        <f t="shared" si="11"/>
        <v>31</v>
      </c>
      <c r="J91" t="str">
        <f t="shared" si="12"/>
        <v>8C</v>
      </c>
      <c r="K91" t="str">
        <f t="shared" si="13"/>
        <v>E7</v>
      </c>
      <c r="L91">
        <f t="shared" si="14"/>
        <v>49</v>
      </c>
      <c r="M91">
        <f t="shared" si="15"/>
        <v>140</v>
      </c>
      <c r="N91">
        <f t="shared" si="16"/>
        <v>231</v>
      </c>
      <c r="P91" t="str">
        <f t="shared" si="17"/>
        <v>.BleuDeFrance-bg{background-color:#318CE7;}</v>
      </c>
    </row>
    <row r="92" spans="2:16" ht="15.75">
      <c r="B92" s="1" t="s">
        <v>380</v>
      </c>
      <c r="C92" t="s">
        <v>381</v>
      </c>
      <c r="D92">
        <v>170.85</v>
      </c>
      <c r="E92">
        <v>229.5</v>
      </c>
      <c r="F92">
        <v>170.85</v>
      </c>
      <c r="G92" t="str">
        <f t="shared" si="9"/>
        <v>BlizzardBlue</v>
      </c>
      <c r="H92" t="str">
        <f t="shared" si="10"/>
        <v>ACE5EE</v>
      </c>
      <c r="I92" t="str">
        <f t="shared" si="11"/>
        <v>AC</v>
      </c>
      <c r="J92" t="str">
        <f t="shared" si="12"/>
        <v>E5</v>
      </c>
      <c r="K92" t="str">
        <f t="shared" si="13"/>
        <v>EE</v>
      </c>
      <c r="L92">
        <f t="shared" si="14"/>
        <v>172</v>
      </c>
      <c r="M92">
        <f t="shared" si="15"/>
        <v>229</v>
      </c>
      <c r="N92">
        <f t="shared" si="16"/>
        <v>238</v>
      </c>
      <c r="P92" t="str">
        <f t="shared" si="17"/>
        <v>.BlizzardBlue-bg{background-color:#ACE5EE;}</v>
      </c>
    </row>
    <row r="93" spans="2:16" ht="15.75">
      <c r="B93" s="1" t="s">
        <v>382</v>
      </c>
      <c r="C93" t="s">
        <v>383</v>
      </c>
      <c r="D93">
        <v>249.9</v>
      </c>
      <c r="E93">
        <v>239.7</v>
      </c>
      <c r="F93">
        <v>249.9</v>
      </c>
      <c r="G93" t="str">
        <f t="shared" si="9"/>
        <v>Blond</v>
      </c>
      <c r="H93" t="str">
        <f t="shared" si="10"/>
        <v>FAF0BE</v>
      </c>
      <c r="I93" t="str">
        <f t="shared" si="11"/>
        <v>FA</v>
      </c>
      <c r="J93" t="str">
        <f t="shared" si="12"/>
        <v>F0</v>
      </c>
      <c r="K93" t="str">
        <f t="shared" si="13"/>
        <v>BE</v>
      </c>
      <c r="L93">
        <f t="shared" si="14"/>
        <v>250</v>
      </c>
      <c r="M93">
        <f t="shared" si="15"/>
        <v>240</v>
      </c>
      <c r="N93">
        <f t="shared" si="16"/>
        <v>190</v>
      </c>
      <c r="P93" t="str">
        <f t="shared" si="17"/>
        <v>.Blond-bg{background-color:#FAF0BE;}</v>
      </c>
    </row>
    <row r="94" spans="2:16" ht="15.75">
      <c r="B94" s="1" t="s">
        <v>384</v>
      </c>
      <c r="C94" t="s">
        <v>385</v>
      </c>
      <c r="D94">
        <v>0</v>
      </c>
      <c r="E94">
        <v>0</v>
      </c>
      <c r="F94">
        <v>0</v>
      </c>
      <c r="G94" t="str">
        <f t="shared" si="9"/>
        <v>Blue</v>
      </c>
      <c r="H94" t="str">
        <f t="shared" si="10"/>
        <v>0000FF</v>
      </c>
      <c r="I94" t="str">
        <f t="shared" si="11"/>
        <v>00</v>
      </c>
      <c r="J94" t="str">
        <f t="shared" si="12"/>
        <v>00</v>
      </c>
      <c r="K94" t="str">
        <f t="shared" si="13"/>
        <v>FF</v>
      </c>
      <c r="L94">
        <f t="shared" si="14"/>
        <v>0</v>
      </c>
      <c r="M94">
        <f t="shared" si="15"/>
        <v>0</v>
      </c>
      <c r="N94">
        <f t="shared" si="16"/>
        <v>255</v>
      </c>
      <c r="P94" t="str">
        <f t="shared" si="17"/>
        <v>.Blue-bg{background-color:#0000FF;}</v>
      </c>
    </row>
    <row r="95" spans="2:16" ht="15.75">
      <c r="B95" s="1" t="s">
        <v>386</v>
      </c>
      <c r="C95" t="s">
        <v>387</v>
      </c>
      <c r="D95">
        <v>30.6</v>
      </c>
      <c r="E95">
        <v>117.3</v>
      </c>
      <c r="F95">
        <v>30.6</v>
      </c>
      <c r="G95" t="str">
        <f t="shared" si="9"/>
        <v>BlueCrayola</v>
      </c>
      <c r="H95" t="str">
        <f t="shared" si="10"/>
        <v>1F75FE</v>
      </c>
      <c r="I95" t="str">
        <f t="shared" si="11"/>
        <v>1F</v>
      </c>
      <c r="J95" t="str">
        <f t="shared" si="12"/>
        <v>75</v>
      </c>
      <c r="K95" t="str">
        <f t="shared" si="13"/>
        <v>FE</v>
      </c>
      <c r="L95">
        <f t="shared" si="14"/>
        <v>31</v>
      </c>
      <c r="M95">
        <f t="shared" si="15"/>
        <v>117</v>
      </c>
      <c r="N95">
        <f t="shared" si="16"/>
        <v>254</v>
      </c>
      <c r="P95" t="str">
        <f t="shared" si="17"/>
        <v>.BlueCrayola-bg{background-color:#1F75FE;}</v>
      </c>
    </row>
    <row r="96" spans="2:16" ht="15.75">
      <c r="B96" s="1" t="s">
        <v>388</v>
      </c>
      <c r="C96" t="s">
        <v>389</v>
      </c>
      <c r="D96">
        <v>0</v>
      </c>
      <c r="E96">
        <v>147.9</v>
      </c>
      <c r="F96">
        <v>0</v>
      </c>
      <c r="G96" t="str">
        <f t="shared" si="9"/>
        <v>BlueMunsell</v>
      </c>
      <c r="H96" t="str">
        <f t="shared" si="10"/>
        <v>0093AF</v>
      </c>
      <c r="I96" t="str">
        <f t="shared" si="11"/>
        <v>00</v>
      </c>
      <c r="J96" t="str">
        <f t="shared" si="12"/>
        <v>93</v>
      </c>
      <c r="K96" t="str">
        <f t="shared" si="13"/>
        <v>AF</v>
      </c>
      <c r="L96">
        <f t="shared" si="14"/>
        <v>0</v>
      </c>
      <c r="M96">
        <f t="shared" si="15"/>
        <v>147</v>
      </c>
      <c r="N96">
        <f t="shared" si="16"/>
        <v>175</v>
      </c>
      <c r="P96" t="str">
        <f t="shared" si="17"/>
        <v>.BlueMunsell-bg{background-color:#0093AF;}</v>
      </c>
    </row>
    <row r="97" spans="2:16" ht="15.75">
      <c r="B97" s="1" t="s">
        <v>390</v>
      </c>
      <c r="C97" t="s">
        <v>391</v>
      </c>
      <c r="D97">
        <v>0</v>
      </c>
      <c r="E97">
        <v>135.15</v>
      </c>
      <c r="F97">
        <v>0</v>
      </c>
      <c r="G97" t="str">
        <f t="shared" si="9"/>
        <v>BlueNcs</v>
      </c>
      <c r="H97" t="str">
        <f t="shared" si="10"/>
        <v>0087BD</v>
      </c>
      <c r="I97" t="str">
        <f t="shared" si="11"/>
        <v>00</v>
      </c>
      <c r="J97" t="str">
        <f t="shared" si="12"/>
        <v>87</v>
      </c>
      <c r="K97" t="str">
        <f t="shared" si="13"/>
        <v>BD</v>
      </c>
      <c r="L97">
        <f t="shared" si="14"/>
        <v>0</v>
      </c>
      <c r="M97">
        <f t="shared" si="15"/>
        <v>135</v>
      </c>
      <c r="N97">
        <f t="shared" si="16"/>
        <v>189</v>
      </c>
      <c r="P97" t="str">
        <f t="shared" si="17"/>
        <v>.BlueNcs-bg{background-color:#0087BD;}</v>
      </c>
    </row>
    <row r="98" spans="2:16" ht="15.75">
      <c r="B98" s="1" t="s">
        <v>392</v>
      </c>
      <c r="C98" t="s">
        <v>393</v>
      </c>
      <c r="D98">
        <v>0</v>
      </c>
      <c r="E98">
        <v>22.95</v>
      </c>
      <c r="F98">
        <v>0</v>
      </c>
      <c r="G98" t="str">
        <f t="shared" si="9"/>
        <v>BluePantone</v>
      </c>
      <c r="H98" t="str">
        <f t="shared" si="10"/>
        <v>0018A8</v>
      </c>
      <c r="I98" t="str">
        <f t="shared" si="11"/>
        <v>00</v>
      </c>
      <c r="J98" t="str">
        <f t="shared" si="12"/>
        <v>18</v>
      </c>
      <c r="K98" t="str">
        <f t="shared" si="13"/>
        <v>A8</v>
      </c>
      <c r="L98">
        <f t="shared" si="14"/>
        <v>0</v>
      </c>
      <c r="M98">
        <f t="shared" si="15"/>
        <v>24</v>
      </c>
      <c r="N98">
        <f t="shared" si="16"/>
        <v>168</v>
      </c>
      <c r="P98" t="str">
        <f t="shared" si="17"/>
        <v>.BluePantone-bg{background-color:#0018A8;}</v>
      </c>
    </row>
    <row r="99" spans="2:16" ht="15.75">
      <c r="B99" s="1" t="s">
        <v>394</v>
      </c>
      <c r="C99" t="s">
        <v>395</v>
      </c>
      <c r="D99">
        <v>51</v>
      </c>
      <c r="E99">
        <v>51</v>
      </c>
      <c r="F99">
        <v>51</v>
      </c>
      <c r="G99" t="str">
        <f t="shared" si="9"/>
        <v>BluePigment</v>
      </c>
      <c r="H99" t="str">
        <f t="shared" si="10"/>
        <v>333399</v>
      </c>
      <c r="I99" t="str">
        <f t="shared" si="11"/>
        <v>33</v>
      </c>
      <c r="J99" t="str">
        <f t="shared" si="12"/>
        <v>33</v>
      </c>
      <c r="K99" t="str">
        <f t="shared" si="13"/>
        <v>99</v>
      </c>
      <c r="L99">
        <f t="shared" si="14"/>
        <v>51</v>
      </c>
      <c r="M99">
        <f t="shared" si="15"/>
        <v>51</v>
      </c>
      <c r="N99">
        <f t="shared" si="16"/>
        <v>153</v>
      </c>
      <c r="P99" t="str">
        <f t="shared" si="17"/>
        <v>.BluePigment-bg{background-color:#333399;}</v>
      </c>
    </row>
    <row r="100" spans="2:16" ht="15.75">
      <c r="B100" s="1" t="s">
        <v>396</v>
      </c>
      <c r="C100" t="s">
        <v>397</v>
      </c>
      <c r="D100">
        <v>2.5499999999999998</v>
      </c>
      <c r="E100">
        <v>71.400000000000006</v>
      </c>
      <c r="F100">
        <v>2.5499999999999998</v>
      </c>
      <c r="G100" t="str">
        <f t="shared" si="9"/>
        <v>BlueRyb</v>
      </c>
      <c r="H100" t="str">
        <f t="shared" si="10"/>
        <v>0247FE</v>
      </c>
      <c r="I100" t="str">
        <f t="shared" si="11"/>
        <v>02</v>
      </c>
      <c r="J100" t="str">
        <f t="shared" si="12"/>
        <v>47</v>
      </c>
      <c r="K100" t="str">
        <f t="shared" si="13"/>
        <v>FE</v>
      </c>
      <c r="L100">
        <f t="shared" si="14"/>
        <v>2</v>
      </c>
      <c r="M100">
        <f t="shared" si="15"/>
        <v>71</v>
      </c>
      <c r="N100">
        <f t="shared" si="16"/>
        <v>254</v>
      </c>
      <c r="P100" t="str">
        <f t="shared" si="17"/>
        <v>.BlueRyb-bg{background-color:#0247FE;}</v>
      </c>
    </row>
    <row r="101" spans="2:16" ht="15.75">
      <c r="B101" s="1" t="s">
        <v>398</v>
      </c>
      <c r="C101" t="s">
        <v>399</v>
      </c>
      <c r="D101">
        <v>163.19999999999999</v>
      </c>
      <c r="E101">
        <v>163.19999999999999</v>
      </c>
      <c r="F101">
        <v>163.19999999999999</v>
      </c>
      <c r="G101" t="str">
        <f t="shared" si="9"/>
        <v>BlueBell</v>
      </c>
      <c r="H101" t="str">
        <f t="shared" si="10"/>
        <v>A2A2D0</v>
      </c>
      <c r="I101" t="str">
        <f t="shared" si="11"/>
        <v>A2</v>
      </c>
      <c r="J101" t="str">
        <f t="shared" si="12"/>
        <v>A2</v>
      </c>
      <c r="K101" t="str">
        <f t="shared" si="13"/>
        <v>D0</v>
      </c>
      <c r="L101">
        <f t="shared" si="14"/>
        <v>162</v>
      </c>
      <c r="M101">
        <f t="shared" si="15"/>
        <v>162</v>
      </c>
      <c r="N101">
        <f t="shared" si="16"/>
        <v>208</v>
      </c>
      <c r="P101" t="str">
        <f t="shared" si="17"/>
        <v>.BlueBell-bg{background-color:#A2A2D0;}</v>
      </c>
    </row>
    <row r="102" spans="2:16" ht="15.75">
      <c r="B102" s="1" t="s">
        <v>400</v>
      </c>
      <c r="C102" t="s">
        <v>401</v>
      </c>
      <c r="D102">
        <v>102</v>
      </c>
      <c r="E102">
        <v>153</v>
      </c>
      <c r="F102">
        <v>102</v>
      </c>
      <c r="G102" t="str">
        <f t="shared" si="9"/>
        <v>Bluegray</v>
      </c>
      <c r="H102" t="str">
        <f t="shared" si="10"/>
        <v>6699CC</v>
      </c>
      <c r="I102" t="str">
        <f t="shared" si="11"/>
        <v>66</v>
      </c>
      <c r="J102" t="str">
        <f t="shared" si="12"/>
        <v>99</v>
      </c>
      <c r="K102" t="str">
        <f t="shared" si="13"/>
        <v>CC</v>
      </c>
      <c r="L102">
        <f t="shared" si="14"/>
        <v>102</v>
      </c>
      <c r="M102">
        <f t="shared" si="15"/>
        <v>153</v>
      </c>
      <c r="N102">
        <f t="shared" si="16"/>
        <v>204</v>
      </c>
      <c r="P102" t="str">
        <f t="shared" si="17"/>
        <v>.Bluegray-bg{background-color:#6699CC;}</v>
      </c>
    </row>
    <row r="103" spans="2:16" ht="15.75">
      <c r="B103" s="1" t="s">
        <v>402</v>
      </c>
      <c r="C103" t="s">
        <v>403</v>
      </c>
      <c r="D103">
        <v>12.75</v>
      </c>
      <c r="E103">
        <v>153</v>
      </c>
      <c r="F103">
        <v>12.75</v>
      </c>
      <c r="G103" t="str">
        <f t="shared" si="9"/>
        <v>Bluegreen</v>
      </c>
      <c r="H103" t="str">
        <f t="shared" si="10"/>
        <v>0D98BA</v>
      </c>
      <c r="I103" t="str">
        <f t="shared" si="11"/>
        <v>0D</v>
      </c>
      <c r="J103" t="str">
        <f t="shared" si="12"/>
        <v>98</v>
      </c>
      <c r="K103" t="str">
        <f t="shared" si="13"/>
        <v>BA</v>
      </c>
      <c r="L103">
        <f t="shared" si="14"/>
        <v>13</v>
      </c>
      <c r="M103">
        <f t="shared" si="15"/>
        <v>152</v>
      </c>
      <c r="N103">
        <f t="shared" si="16"/>
        <v>186</v>
      </c>
      <c r="P103" t="str">
        <f t="shared" si="17"/>
        <v>.Bluegreen-bg{background-color:#0D98BA;}</v>
      </c>
    </row>
    <row r="104" spans="2:16" ht="15.75">
      <c r="B104" s="1" t="s">
        <v>404</v>
      </c>
      <c r="C104" t="s">
        <v>405</v>
      </c>
      <c r="D104">
        <v>91.8</v>
      </c>
      <c r="E104">
        <v>173.4</v>
      </c>
      <c r="F104">
        <v>91.8</v>
      </c>
      <c r="G104" t="str">
        <f t="shared" si="9"/>
        <v>BlueJeans</v>
      </c>
      <c r="H104" t="str">
        <f t="shared" si="10"/>
        <v>5DADEC</v>
      </c>
      <c r="I104" t="str">
        <f t="shared" si="11"/>
        <v>5D</v>
      </c>
      <c r="J104" t="str">
        <f t="shared" si="12"/>
        <v>AD</v>
      </c>
      <c r="K104" t="str">
        <f t="shared" si="13"/>
        <v>EC</v>
      </c>
      <c r="L104">
        <f t="shared" si="14"/>
        <v>93</v>
      </c>
      <c r="M104">
        <f t="shared" si="15"/>
        <v>173</v>
      </c>
      <c r="N104">
        <f t="shared" si="16"/>
        <v>236</v>
      </c>
      <c r="P104" t="str">
        <f t="shared" si="17"/>
        <v>.BlueJeans-bg{background-color:#5DADEC;}</v>
      </c>
    </row>
    <row r="105" spans="2:16" ht="15.75">
      <c r="B105" s="1" t="s">
        <v>406</v>
      </c>
      <c r="C105" t="s">
        <v>381</v>
      </c>
      <c r="D105">
        <v>170.85</v>
      </c>
      <c r="E105">
        <v>229.5</v>
      </c>
      <c r="F105">
        <v>170.85</v>
      </c>
      <c r="G105" t="str">
        <f t="shared" si="9"/>
        <v>BlueLagoon</v>
      </c>
      <c r="H105" t="str">
        <f t="shared" si="10"/>
        <v>ACE5EE</v>
      </c>
      <c r="I105" t="str">
        <f t="shared" si="11"/>
        <v>AC</v>
      </c>
      <c r="J105" t="str">
        <f t="shared" si="12"/>
        <v>E5</v>
      </c>
      <c r="K105" t="str">
        <f t="shared" si="13"/>
        <v>EE</v>
      </c>
      <c r="L105">
        <f t="shared" si="14"/>
        <v>172</v>
      </c>
      <c r="M105">
        <f t="shared" si="15"/>
        <v>229</v>
      </c>
      <c r="N105">
        <f t="shared" si="16"/>
        <v>238</v>
      </c>
      <c r="P105" t="str">
        <f t="shared" si="17"/>
        <v>.BlueLagoon-bg{background-color:#ACE5EE;}</v>
      </c>
    </row>
    <row r="106" spans="2:16" ht="15.75">
      <c r="B106" s="1" t="s">
        <v>407</v>
      </c>
      <c r="C106" t="s">
        <v>408</v>
      </c>
      <c r="D106">
        <v>84.15</v>
      </c>
      <c r="E106">
        <v>53.55</v>
      </c>
      <c r="F106">
        <v>84.15</v>
      </c>
      <c r="G106" t="str">
        <f t="shared" si="9"/>
        <v>BluemagentaViolet</v>
      </c>
      <c r="H106" t="str">
        <f t="shared" si="10"/>
        <v>553592</v>
      </c>
      <c r="I106" t="str">
        <f t="shared" si="11"/>
        <v>55</v>
      </c>
      <c r="J106" t="str">
        <f t="shared" si="12"/>
        <v>35</v>
      </c>
      <c r="K106" t="str">
        <f t="shared" si="13"/>
        <v>92</v>
      </c>
      <c r="L106">
        <f t="shared" si="14"/>
        <v>85</v>
      </c>
      <c r="M106">
        <f t="shared" si="15"/>
        <v>53</v>
      </c>
      <c r="N106">
        <f t="shared" si="16"/>
        <v>146</v>
      </c>
      <c r="P106" t="str">
        <f t="shared" si="17"/>
        <v>.BluemagentaViolet-bg{background-color:#553592;}</v>
      </c>
    </row>
    <row r="107" spans="2:16" ht="15.75">
      <c r="B107" s="1" t="s">
        <v>409</v>
      </c>
      <c r="C107" t="s">
        <v>410</v>
      </c>
      <c r="D107">
        <v>17.850000000000001</v>
      </c>
      <c r="E107">
        <v>96.9</v>
      </c>
      <c r="F107">
        <v>17.850000000000001</v>
      </c>
      <c r="G107" t="str">
        <f t="shared" si="9"/>
        <v>BlueSapphire</v>
      </c>
      <c r="H107" t="str">
        <f t="shared" si="10"/>
        <v>126180</v>
      </c>
      <c r="I107" t="str">
        <f t="shared" si="11"/>
        <v>12</v>
      </c>
      <c r="J107" t="str">
        <f t="shared" si="12"/>
        <v>61</v>
      </c>
      <c r="K107" t="str">
        <f t="shared" si="13"/>
        <v>80</v>
      </c>
      <c r="L107">
        <f t="shared" si="14"/>
        <v>18</v>
      </c>
      <c r="M107">
        <f t="shared" si="15"/>
        <v>97</v>
      </c>
      <c r="N107">
        <f t="shared" si="16"/>
        <v>128</v>
      </c>
      <c r="P107" t="str">
        <f t="shared" si="17"/>
        <v>.BlueSapphire-bg{background-color:#126180;}</v>
      </c>
    </row>
    <row r="108" spans="2:16" ht="15.75">
      <c r="B108" s="1" t="s">
        <v>411</v>
      </c>
      <c r="C108" t="s">
        <v>412</v>
      </c>
      <c r="D108">
        <v>137.69999999999999</v>
      </c>
      <c r="E108">
        <v>43.35</v>
      </c>
      <c r="F108">
        <v>137.69999999999999</v>
      </c>
      <c r="G108" t="str">
        <f t="shared" si="9"/>
        <v>Blueviolet</v>
      </c>
      <c r="H108" t="str">
        <f t="shared" si="10"/>
        <v>8A2BE2</v>
      </c>
      <c r="I108" t="str">
        <f t="shared" si="11"/>
        <v>8A</v>
      </c>
      <c r="J108" t="str">
        <f t="shared" si="12"/>
        <v>2B</v>
      </c>
      <c r="K108" t="str">
        <f t="shared" si="13"/>
        <v>E2</v>
      </c>
      <c r="L108">
        <f t="shared" si="14"/>
        <v>138</v>
      </c>
      <c r="M108">
        <f t="shared" si="15"/>
        <v>43</v>
      </c>
      <c r="N108">
        <f t="shared" si="16"/>
        <v>226</v>
      </c>
      <c r="P108" t="str">
        <f t="shared" si="17"/>
        <v>.Blueviolet-bg{background-color:#8A2BE2;}</v>
      </c>
    </row>
    <row r="109" spans="2:16" ht="15.75">
      <c r="B109" s="1" t="s">
        <v>413</v>
      </c>
      <c r="C109" t="s">
        <v>414</v>
      </c>
      <c r="D109">
        <v>79.05</v>
      </c>
      <c r="E109">
        <v>114.75</v>
      </c>
      <c r="F109">
        <v>79.05</v>
      </c>
      <c r="G109" t="str">
        <f t="shared" si="9"/>
        <v>BlueYonder</v>
      </c>
      <c r="H109" t="str">
        <f t="shared" si="10"/>
        <v>5072A7</v>
      </c>
      <c r="I109" t="str">
        <f t="shared" si="11"/>
        <v>50</v>
      </c>
      <c r="J109" t="str">
        <f t="shared" si="12"/>
        <v>72</v>
      </c>
      <c r="K109" t="str">
        <f t="shared" si="13"/>
        <v>A7</v>
      </c>
      <c r="L109">
        <f t="shared" si="14"/>
        <v>80</v>
      </c>
      <c r="M109">
        <f t="shared" si="15"/>
        <v>114</v>
      </c>
      <c r="N109">
        <f t="shared" si="16"/>
        <v>167</v>
      </c>
      <c r="P109" t="str">
        <f t="shared" si="17"/>
        <v>.BlueYonder-bg{background-color:#5072A7;}</v>
      </c>
    </row>
    <row r="110" spans="2:16" ht="15.75">
      <c r="B110" s="1" t="s">
        <v>415</v>
      </c>
      <c r="C110" t="s">
        <v>416</v>
      </c>
      <c r="D110">
        <v>79.05</v>
      </c>
      <c r="E110">
        <v>135.15</v>
      </c>
      <c r="F110">
        <v>79.05</v>
      </c>
      <c r="G110" t="str">
        <f t="shared" si="9"/>
        <v>Blueberry</v>
      </c>
      <c r="H110" t="str">
        <f t="shared" si="10"/>
        <v>4F86F7</v>
      </c>
      <c r="I110" t="str">
        <f t="shared" si="11"/>
        <v>4F</v>
      </c>
      <c r="J110" t="str">
        <f t="shared" si="12"/>
        <v>86</v>
      </c>
      <c r="K110" t="str">
        <f t="shared" si="13"/>
        <v>F7</v>
      </c>
      <c r="L110">
        <f t="shared" si="14"/>
        <v>79</v>
      </c>
      <c r="M110">
        <f t="shared" si="15"/>
        <v>134</v>
      </c>
      <c r="N110">
        <f t="shared" si="16"/>
        <v>247</v>
      </c>
      <c r="P110" t="str">
        <f t="shared" si="17"/>
        <v>.Blueberry-bg{background-color:#4F86F7;}</v>
      </c>
    </row>
    <row r="111" spans="2:16" ht="15.75">
      <c r="B111" s="1" t="s">
        <v>417</v>
      </c>
      <c r="C111" t="s">
        <v>418</v>
      </c>
      <c r="D111">
        <v>28.05</v>
      </c>
      <c r="E111">
        <v>28.05</v>
      </c>
      <c r="F111">
        <v>28.05</v>
      </c>
      <c r="G111" t="str">
        <f t="shared" si="9"/>
        <v>Bluebonnet</v>
      </c>
      <c r="H111" t="str">
        <f t="shared" si="10"/>
        <v>1C1CF0</v>
      </c>
      <c r="I111" t="str">
        <f t="shared" si="11"/>
        <v>1C</v>
      </c>
      <c r="J111" t="str">
        <f t="shared" si="12"/>
        <v>1C</v>
      </c>
      <c r="K111" t="str">
        <f t="shared" si="13"/>
        <v>F0</v>
      </c>
      <c r="L111">
        <f t="shared" si="14"/>
        <v>28</v>
      </c>
      <c r="M111">
        <f t="shared" si="15"/>
        <v>28</v>
      </c>
      <c r="N111">
        <f t="shared" si="16"/>
        <v>240</v>
      </c>
      <c r="P111" t="str">
        <f t="shared" si="17"/>
        <v>.Bluebonnet-bg{background-color:#1C1CF0;}</v>
      </c>
    </row>
    <row r="112" spans="2:16" ht="15.75">
      <c r="B112" s="1" t="s">
        <v>419</v>
      </c>
      <c r="C112" t="s">
        <v>420</v>
      </c>
      <c r="D112">
        <v>221.85</v>
      </c>
      <c r="E112">
        <v>91.8</v>
      </c>
      <c r="F112">
        <v>221.85</v>
      </c>
      <c r="G112" t="str">
        <f t="shared" si="9"/>
        <v>Blush</v>
      </c>
      <c r="H112" t="str">
        <f t="shared" si="10"/>
        <v>DE5D83</v>
      </c>
      <c r="I112" t="str">
        <f t="shared" si="11"/>
        <v>DE</v>
      </c>
      <c r="J112" t="str">
        <f t="shared" si="12"/>
        <v>5D</v>
      </c>
      <c r="K112" t="str">
        <f t="shared" si="13"/>
        <v>83</v>
      </c>
      <c r="L112">
        <f t="shared" si="14"/>
        <v>222</v>
      </c>
      <c r="M112">
        <f t="shared" si="15"/>
        <v>93</v>
      </c>
      <c r="N112">
        <f t="shared" si="16"/>
        <v>131</v>
      </c>
      <c r="P112" t="str">
        <f t="shared" si="17"/>
        <v>.Blush-bg{background-color:#DE5D83;}</v>
      </c>
    </row>
    <row r="113" spans="2:16" ht="15.75">
      <c r="B113" s="1" t="s">
        <v>421</v>
      </c>
      <c r="C113" t="s">
        <v>422</v>
      </c>
      <c r="D113">
        <v>119.85</v>
      </c>
      <c r="E113">
        <v>68.849999999999994</v>
      </c>
      <c r="F113">
        <v>119.85</v>
      </c>
      <c r="G113" t="str">
        <f t="shared" si="9"/>
        <v>Bole</v>
      </c>
      <c r="H113" t="str">
        <f t="shared" si="10"/>
        <v>79443B</v>
      </c>
      <c r="I113" t="str">
        <f t="shared" si="11"/>
        <v>79</v>
      </c>
      <c r="J113" t="str">
        <f t="shared" si="12"/>
        <v>44</v>
      </c>
      <c r="K113" t="str">
        <f t="shared" si="13"/>
        <v>3B</v>
      </c>
      <c r="L113">
        <f t="shared" si="14"/>
        <v>121</v>
      </c>
      <c r="M113">
        <f t="shared" si="15"/>
        <v>68</v>
      </c>
      <c r="N113">
        <f t="shared" si="16"/>
        <v>59</v>
      </c>
      <c r="P113" t="str">
        <f t="shared" si="17"/>
        <v>.Bole-bg{background-color:#79443B;}</v>
      </c>
    </row>
    <row r="114" spans="2:16" ht="15.75">
      <c r="B114" s="1" t="s">
        <v>423</v>
      </c>
      <c r="C114" t="s">
        <v>424</v>
      </c>
      <c r="D114">
        <v>0</v>
      </c>
      <c r="E114">
        <v>147.9</v>
      </c>
      <c r="F114">
        <v>0</v>
      </c>
      <c r="G114" t="str">
        <f t="shared" si="9"/>
        <v>BondiBlue</v>
      </c>
      <c r="H114" t="str">
        <f t="shared" si="10"/>
        <v>0095B6</v>
      </c>
      <c r="I114" t="str">
        <f t="shared" si="11"/>
        <v>00</v>
      </c>
      <c r="J114" t="str">
        <f t="shared" si="12"/>
        <v>95</v>
      </c>
      <c r="K114" t="str">
        <f t="shared" si="13"/>
        <v>B6</v>
      </c>
      <c r="L114">
        <f t="shared" si="14"/>
        <v>0</v>
      </c>
      <c r="M114">
        <f t="shared" si="15"/>
        <v>149</v>
      </c>
      <c r="N114">
        <f t="shared" si="16"/>
        <v>182</v>
      </c>
      <c r="P114" t="str">
        <f t="shared" si="17"/>
        <v>.BondiBlue-bg{background-color:#0095B6;}</v>
      </c>
    </row>
    <row r="115" spans="2:16" ht="15.75">
      <c r="B115" s="1" t="s">
        <v>425</v>
      </c>
      <c r="C115" t="s">
        <v>426</v>
      </c>
      <c r="D115">
        <v>226.95</v>
      </c>
      <c r="E115">
        <v>216.75</v>
      </c>
      <c r="F115">
        <v>226.95</v>
      </c>
      <c r="G115" t="str">
        <f t="shared" si="9"/>
        <v>Bone</v>
      </c>
      <c r="H115" t="str">
        <f t="shared" si="10"/>
        <v>E3DAC9</v>
      </c>
      <c r="I115" t="str">
        <f t="shared" si="11"/>
        <v>E3</v>
      </c>
      <c r="J115" t="str">
        <f t="shared" si="12"/>
        <v>DA</v>
      </c>
      <c r="K115" t="str">
        <f t="shared" si="13"/>
        <v>C9</v>
      </c>
      <c r="L115">
        <f t="shared" si="14"/>
        <v>227</v>
      </c>
      <c r="M115">
        <f t="shared" si="15"/>
        <v>218</v>
      </c>
      <c r="N115">
        <f t="shared" si="16"/>
        <v>201</v>
      </c>
      <c r="P115" t="str">
        <f t="shared" si="17"/>
        <v>.Bone-bg{background-color:#E3DAC9;}</v>
      </c>
    </row>
    <row r="116" spans="2:16" ht="15.75">
      <c r="B116" s="1" t="s">
        <v>427</v>
      </c>
      <c r="C116" t="s">
        <v>428</v>
      </c>
      <c r="D116">
        <v>221.85</v>
      </c>
      <c r="E116">
        <v>226.95</v>
      </c>
      <c r="F116">
        <v>221.85</v>
      </c>
      <c r="G116" t="str">
        <f t="shared" si="9"/>
        <v>BoogerBuster</v>
      </c>
      <c r="H116" t="str">
        <f t="shared" si="10"/>
        <v>DDE26A</v>
      </c>
      <c r="I116" t="str">
        <f t="shared" si="11"/>
        <v>DD</v>
      </c>
      <c r="J116" t="str">
        <f t="shared" si="12"/>
        <v>E2</v>
      </c>
      <c r="K116" t="str">
        <f t="shared" si="13"/>
        <v>6A</v>
      </c>
      <c r="L116">
        <f t="shared" si="14"/>
        <v>221</v>
      </c>
      <c r="M116">
        <f t="shared" si="15"/>
        <v>226</v>
      </c>
      <c r="N116">
        <f t="shared" si="16"/>
        <v>106</v>
      </c>
      <c r="P116" t="str">
        <f t="shared" si="17"/>
        <v>.BoogerBuster-bg{background-color:#DDE26A;}</v>
      </c>
    </row>
    <row r="117" spans="2:16" ht="15.75">
      <c r="B117" s="1" t="s">
        <v>429</v>
      </c>
      <c r="C117" t="s">
        <v>430</v>
      </c>
      <c r="D117">
        <v>204</v>
      </c>
      <c r="E117">
        <v>0</v>
      </c>
      <c r="F117">
        <v>204</v>
      </c>
      <c r="G117" t="str">
        <f t="shared" si="9"/>
        <v>BostonUniversityRed</v>
      </c>
      <c r="H117" t="str">
        <f t="shared" si="10"/>
        <v>CC0000</v>
      </c>
      <c r="I117" t="str">
        <f t="shared" si="11"/>
        <v>CC</v>
      </c>
      <c r="J117" t="str">
        <f t="shared" si="12"/>
        <v>00</v>
      </c>
      <c r="K117" t="str">
        <f t="shared" si="13"/>
        <v>00</v>
      </c>
      <c r="L117">
        <f t="shared" si="14"/>
        <v>204</v>
      </c>
      <c r="M117">
        <f t="shared" si="15"/>
        <v>0</v>
      </c>
      <c r="N117">
        <f t="shared" si="16"/>
        <v>0</v>
      </c>
      <c r="P117" t="str">
        <f t="shared" si="17"/>
        <v>.BostonUniversityRed-bg{background-color:#CC0000;}</v>
      </c>
    </row>
    <row r="118" spans="2:16" ht="15.75">
      <c r="B118" s="1" t="s">
        <v>431</v>
      </c>
      <c r="C118" t="s">
        <v>325</v>
      </c>
      <c r="D118">
        <v>0</v>
      </c>
      <c r="E118">
        <v>107.1</v>
      </c>
      <c r="F118">
        <v>0</v>
      </c>
      <c r="G118" t="str">
        <f t="shared" si="9"/>
        <v>BottleGreen</v>
      </c>
      <c r="H118" t="str">
        <f t="shared" si="10"/>
        <v>006A4E</v>
      </c>
      <c r="I118" t="str">
        <f t="shared" si="11"/>
        <v>00</v>
      </c>
      <c r="J118" t="str">
        <f t="shared" si="12"/>
        <v>6A</v>
      </c>
      <c r="K118" t="str">
        <f t="shared" si="13"/>
        <v>4E</v>
      </c>
      <c r="L118">
        <f t="shared" si="14"/>
        <v>0</v>
      </c>
      <c r="M118">
        <f t="shared" si="15"/>
        <v>106</v>
      </c>
      <c r="N118">
        <f t="shared" si="16"/>
        <v>78</v>
      </c>
      <c r="P118" t="str">
        <f t="shared" si="17"/>
        <v>.BottleGreen-bg{background-color:#006A4E;}</v>
      </c>
    </row>
    <row r="119" spans="2:16" ht="15.75">
      <c r="B119" s="1" t="s">
        <v>432</v>
      </c>
      <c r="C119" t="s">
        <v>433</v>
      </c>
      <c r="D119">
        <v>135.15</v>
      </c>
      <c r="E119">
        <v>51</v>
      </c>
      <c r="F119">
        <v>135.15</v>
      </c>
      <c r="G119" t="str">
        <f t="shared" si="9"/>
        <v>Boysenberry</v>
      </c>
      <c r="H119" t="str">
        <f t="shared" si="10"/>
        <v>873260</v>
      </c>
      <c r="I119" t="str">
        <f t="shared" si="11"/>
        <v>87</v>
      </c>
      <c r="J119" t="str">
        <f t="shared" si="12"/>
        <v>32</v>
      </c>
      <c r="K119" t="str">
        <f t="shared" si="13"/>
        <v>60</v>
      </c>
      <c r="L119">
        <f t="shared" si="14"/>
        <v>135</v>
      </c>
      <c r="M119">
        <f t="shared" si="15"/>
        <v>50</v>
      </c>
      <c r="N119">
        <f t="shared" si="16"/>
        <v>96</v>
      </c>
      <c r="P119" t="str">
        <f t="shared" si="17"/>
        <v>.Boysenberry-bg{background-color:#873260;}</v>
      </c>
    </row>
    <row r="120" spans="2:16" ht="15.75">
      <c r="B120" s="1" t="s">
        <v>434</v>
      </c>
      <c r="C120" t="s">
        <v>435</v>
      </c>
      <c r="D120">
        <v>0</v>
      </c>
      <c r="E120">
        <v>112.2</v>
      </c>
      <c r="F120">
        <v>0</v>
      </c>
      <c r="G120" t="str">
        <f t="shared" si="9"/>
        <v>BrandeisBlue</v>
      </c>
      <c r="H120" t="str">
        <f t="shared" si="10"/>
        <v>0070FF</v>
      </c>
      <c r="I120" t="str">
        <f t="shared" si="11"/>
        <v>00</v>
      </c>
      <c r="J120" t="str">
        <f t="shared" si="12"/>
        <v>70</v>
      </c>
      <c r="K120" t="str">
        <f t="shared" si="13"/>
        <v>FF</v>
      </c>
      <c r="L120">
        <f t="shared" si="14"/>
        <v>0</v>
      </c>
      <c r="M120">
        <f t="shared" si="15"/>
        <v>112</v>
      </c>
      <c r="N120">
        <f t="shared" si="16"/>
        <v>255</v>
      </c>
      <c r="P120" t="str">
        <f t="shared" si="17"/>
        <v>.BrandeisBlue-bg{background-color:#0070FF;}</v>
      </c>
    </row>
    <row r="121" spans="2:16" ht="15.75">
      <c r="B121" s="1" t="s">
        <v>436</v>
      </c>
      <c r="C121" t="s">
        <v>437</v>
      </c>
      <c r="D121">
        <v>181.05</v>
      </c>
      <c r="E121">
        <v>165.75</v>
      </c>
      <c r="F121">
        <v>181.05</v>
      </c>
      <c r="G121" t="str">
        <f t="shared" si="9"/>
        <v>Brass</v>
      </c>
      <c r="H121" t="str">
        <f t="shared" si="10"/>
        <v>B5A642</v>
      </c>
      <c r="I121" t="str">
        <f t="shared" si="11"/>
        <v>B5</v>
      </c>
      <c r="J121" t="str">
        <f t="shared" si="12"/>
        <v>A6</v>
      </c>
      <c r="K121" t="str">
        <f t="shared" si="13"/>
        <v>42</v>
      </c>
      <c r="L121">
        <f t="shared" si="14"/>
        <v>181</v>
      </c>
      <c r="M121">
        <f t="shared" si="15"/>
        <v>166</v>
      </c>
      <c r="N121">
        <f t="shared" si="16"/>
        <v>66</v>
      </c>
      <c r="P121" t="str">
        <f t="shared" si="17"/>
        <v>.Brass-bg{background-color:#B5A642;}</v>
      </c>
    </row>
    <row r="122" spans="2:16" ht="15.75">
      <c r="B122" s="1" t="s">
        <v>438</v>
      </c>
      <c r="C122" t="s">
        <v>439</v>
      </c>
      <c r="D122">
        <v>204</v>
      </c>
      <c r="E122">
        <v>63.75</v>
      </c>
      <c r="F122">
        <v>204</v>
      </c>
      <c r="G122" t="str">
        <f t="shared" si="9"/>
        <v>BrickRed</v>
      </c>
      <c r="H122" t="str">
        <f t="shared" si="10"/>
        <v>CB4154</v>
      </c>
      <c r="I122" t="str">
        <f t="shared" si="11"/>
        <v>CB</v>
      </c>
      <c r="J122" t="str">
        <f t="shared" si="12"/>
        <v>41</v>
      </c>
      <c r="K122" t="str">
        <f t="shared" si="13"/>
        <v>54</v>
      </c>
      <c r="L122">
        <f t="shared" si="14"/>
        <v>203</v>
      </c>
      <c r="M122">
        <f t="shared" si="15"/>
        <v>65</v>
      </c>
      <c r="N122">
        <f t="shared" si="16"/>
        <v>84</v>
      </c>
      <c r="P122" t="str">
        <f t="shared" si="17"/>
        <v>.BrickRed-bg{background-color:#CB4154;}</v>
      </c>
    </row>
    <row r="123" spans="2:16" ht="15.75">
      <c r="B123" s="1" t="s">
        <v>440</v>
      </c>
      <c r="C123" t="s">
        <v>441</v>
      </c>
      <c r="D123">
        <v>28.05</v>
      </c>
      <c r="E123">
        <v>170.85</v>
      </c>
      <c r="F123">
        <v>28.05</v>
      </c>
      <c r="G123" t="str">
        <f t="shared" si="9"/>
        <v>BrightCerulean</v>
      </c>
      <c r="H123" t="str">
        <f t="shared" si="10"/>
        <v>1DACD6</v>
      </c>
      <c r="I123" t="str">
        <f t="shared" si="11"/>
        <v>1D</v>
      </c>
      <c r="J123" t="str">
        <f t="shared" si="12"/>
        <v>AC</v>
      </c>
      <c r="K123" t="str">
        <f t="shared" si="13"/>
        <v>D6</v>
      </c>
      <c r="L123">
        <f t="shared" si="14"/>
        <v>29</v>
      </c>
      <c r="M123">
        <f t="shared" si="15"/>
        <v>172</v>
      </c>
      <c r="N123">
        <f t="shared" si="16"/>
        <v>214</v>
      </c>
      <c r="P123" t="str">
        <f t="shared" si="17"/>
        <v>.BrightCerulean-bg{background-color:#1DACD6;}</v>
      </c>
    </row>
    <row r="124" spans="2:16" ht="15.75">
      <c r="B124" s="1" t="s">
        <v>442</v>
      </c>
      <c r="C124" t="s">
        <v>443</v>
      </c>
      <c r="D124">
        <v>102</v>
      </c>
      <c r="E124">
        <v>255</v>
      </c>
      <c r="F124">
        <v>102</v>
      </c>
      <c r="G124" t="str">
        <f t="shared" si="9"/>
        <v>BrightGreen</v>
      </c>
      <c r="H124" t="str">
        <f t="shared" si="10"/>
        <v>66FF00</v>
      </c>
      <c r="I124" t="str">
        <f t="shared" si="11"/>
        <v>66</v>
      </c>
      <c r="J124" t="str">
        <f t="shared" si="12"/>
        <v>FF</v>
      </c>
      <c r="K124" t="str">
        <f t="shared" si="13"/>
        <v>00</v>
      </c>
      <c r="L124">
        <f t="shared" si="14"/>
        <v>102</v>
      </c>
      <c r="M124">
        <f t="shared" si="15"/>
        <v>255</v>
      </c>
      <c r="N124">
        <f t="shared" si="16"/>
        <v>0</v>
      </c>
      <c r="P124" t="str">
        <f t="shared" si="17"/>
        <v>.BrightGreen-bg{background-color:#66FF00;}</v>
      </c>
    </row>
    <row r="125" spans="2:16" ht="15.75">
      <c r="B125" s="1" t="s">
        <v>444</v>
      </c>
      <c r="C125" t="s">
        <v>445</v>
      </c>
      <c r="D125">
        <v>191.25</v>
      </c>
      <c r="E125">
        <v>147.9</v>
      </c>
      <c r="F125">
        <v>191.25</v>
      </c>
      <c r="G125" t="str">
        <f t="shared" si="9"/>
        <v>BrightLavender</v>
      </c>
      <c r="H125" t="str">
        <f t="shared" si="10"/>
        <v>BF94E4</v>
      </c>
      <c r="I125" t="str">
        <f t="shared" si="11"/>
        <v>BF</v>
      </c>
      <c r="J125" t="str">
        <f t="shared" si="12"/>
        <v>94</v>
      </c>
      <c r="K125" t="str">
        <f t="shared" si="13"/>
        <v>E4</v>
      </c>
      <c r="L125">
        <f t="shared" si="14"/>
        <v>191</v>
      </c>
      <c r="M125">
        <f t="shared" si="15"/>
        <v>148</v>
      </c>
      <c r="N125">
        <f t="shared" si="16"/>
        <v>228</v>
      </c>
      <c r="P125" t="str">
        <f t="shared" si="17"/>
        <v>.BrightLavender-bg{background-color:#BF94E4;}</v>
      </c>
    </row>
    <row r="126" spans="2:16" ht="15.75">
      <c r="B126" s="1" t="s">
        <v>446</v>
      </c>
      <c r="C126" t="s">
        <v>447</v>
      </c>
      <c r="D126">
        <v>216.75</v>
      </c>
      <c r="E126">
        <v>145.35</v>
      </c>
      <c r="F126">
        <v>216.75</v>
      </c>
      <c r="G126" t="str">
        <f t="shared" si="9"/>
        <v>BrightLilac</v>
      </c>
      <c r="H126" t="str">
        <f t="shared" si="10"/>
        <v>D891EF</v>
      </c>
      <c r="I126" t="str">
        <f t="shared" si="11"/>
        <v>D8</v>
      </c>
      <c r="J126" t="str">
        <f t="shared" si="12"/>
        <v>91</v>
      </c>
      <c r="K126" t="str">
        <f t="shared" si="13"/>
        <v>EF</v>
      </c>
      <c r="L126">
        <f t="shared" si="14"/>
        <v>216</v>
      </c>
      <c r="M126">
        <f t="shared" si="15"/>
        <v>145</v>
      </c>
      <c r="N126">
        <f t="shared" si="16"/>
        <v>239</v>
      </c>
      <c r="P126" t="str">
        <f t="shared" si="17"/>
        <v>.BrightLilac-bg{background-color:#D891EF;}</v>
      </c>
    </row>
    <row r="127" spans="2:16" ht="15.75">
      <c r="B127" s="1" t="s">
        <v>448</v>
      </c>
      <c r="C127" t="s">
        <v>449</v>
      </c>
      <c r="D127">
        <v>193.8</v>
      </c>
      <c r="E127">
        <v>33.15</v>
      </c>
      <c r="F127">
        <v>193.8</v>
      </c>
      <c r="G127" t="str">
        <f t="shared" si="9"/>
        <v>BrightMaroon</v>
      </c>
      <c r="H127" t="str">
        <f t="shared" si="10"/>
        <v>C32148</v>
      </c>
      <c r="I127" t="str">
        <f t="shared" si="11"/>
        <v>C3</v>
      </c>
      <c r="J127" t="str">
        <f t="shared" si="12"/>
        <v>21</v>
      </c>
      <c r="K127" t="str">
        <f t="shared" si="13"/>
        <v>48</v>
      </c>
      <c r="L127">
        <f t="shared" si="14"/>
        <v>195</v>
      </c>
      <c r="M127">
        <f t="shared" si="15"/>
        <v>33</v>
      </c>
      <c r="N127">
        <f t="shared" si="16"/>
        <v>72</v>
      </c>
      <c r="P127" t="str">
        <f t="shared" si="17"/>
        <v>.BrightMaroon-bg{background-color:#C32148;}</v>
      </c>
    </row>
    <row r="128" spans="2:16" ht="15.75">
      <c r="B128" s="1" t="s">
        <v>450</v>
      </c>
      <c r="C128" t="s">
        <v>451</v>
      </c>
      <c r="D128">
        <v>25.5</v>
      </c>
      <c r="E128">
        <v>114.75</v>
      </c>
      <c r="F128">
        <v>25.5</v>
      </c>
      <c r="G128" t="str">
        <f t="shared" si="9"/>
        <v>BrightNavyBlue</v>
      </c>
      <c r="H128" t="str">
        <f t="shared" si="10"/>
        <v>1974D2</v>
      </c>
      <c r="I128" t="str">
        <f t="shared" si="11"/>
        <v>19</v>
      </c>
      <c r="J128" t="str">
        <f t="shared" si="12"/>
        <v>74</v>
      </c>
      <c r="K128" t="str">
        <f t="shared" si="13"/>
        <v>D2</v>
      </c>
      <c r="L128">
        <f t="shared" si="14"/>
        <v>25</v>
      </c>
      <c r="M128">
        <f t="shared" si="15"/>
        <v>116</v>
      </c>
      <c r="N128">
        <f t="shared" si="16"/>
        <v>210</v>
      </c>
      <c r="P128" t="str">
        <f t="shared" si="17"/>
        <v>.BrightNavyBlue-bg{background-color:#1974D2;}</v>
      </c>
    </row>
    <row r="129" spans="2:16" ht="15.75">
      <c r="B129" s="1" t="s">
        <v>452</v>
      </c>
      <c r="C129" t="s">
        <v>453</v>
      </c>
      <c r="D129">
        <v>255</v>
      </c>
      <c r="E129">
        <v>0</v>
      </c>
      <c r="F129">
        <v>255</v>
      </c>
      <c r="G129" t="str">
        <f t="shared" si="9"/>
        <v>BrightPink</v>
      </c>
      <c r="H129" t="str">
        <f t="shared" si="10"/>
        <v>FF007F</v>
      </c>
      <c r="I129" t="str">
        <f t="shared" si="11"/>
        <v>FF</v>
      </c>
      <c r="J129" t="str">
        <f t="shared" si="12"/>
        <v>00</v>
      </c>
      <c r="K129" t="str">
        <f t="shared" si="13"/>
        <v>7F</v>
      </c>
      <c r="L129">
        <f t="shared" si="14"/>
        <v>255</v>
      </c>
      <c r="M129">
        <f t="shared" si="15"/>
        <v>0</v>
      </c>
      <c r="N129">
        <f t="shared" si="16"/>
        <v>127</v>
      </c>
      <c r="P129" t="str">
        <f t="shared" si="17"/>
        <v>.BrightPink-bg{background-color:#FF007F;}</v>
      </c>
    </row>
    <row r="130" spans="2:16" ht="15.75">
      <c r="B130" s="1" t="s">
        <v>454</v>
      </c>
      <c r="C130" t="s">
        <v>455</v>
      </c>
      <c r="D130">
        <v>7.65</v>
      </c>
      <c r="E130">
        <v>232.05</v>
      </c>
      <c r="F130">
        <v>7.65</v>
      </c>
      <c r="G130" t="str">
        <f t="shared" si="9"/>
        <v>BrightTurquoise</v>
      </c>
      <c r="H130" t="str">
        <f t="shared" si="10"/>
        <v>08E8DE</v>
      </c>
      <c r="I130" t="str">
        <f t="shared" si="11"/>
        <v>08</v>
      </c>
      <c r="J130" t="str">
        <f t="shared" si="12"/>
        <v>E8</v>
      </c>
      <c r="K130" t="str">
        <f t="shared" si="13"/>
        <v>DE</v>
      </c>
      <c r="L130">
        <f t="shared" si="14"/>
        <v>8</v>
      </c>
      <c r="M130">
        <f t="shared" si="15"/>
        <v>232</v>
      </c>
      <c r="N130">
        <f t="shared" si="16"/>
        <v>222</v>
      </c>
      <c r="P130" t="str">
        <f t="shared" si="17"/>
        <v>.BrightTurquoise-bg{background-color:#08E8DE;}</v>
      </c>
    </row>
    <row r="131" spans="2:16" ht="15.75">
      <c r="B131" s="1" t="s">
        <v>456</v>
      </c>
      <c r="C131" t="s">
        <v>457</v>
      </c>
      <c r="D131">
        <v>209.1</v>
      </c>
      <c r="E131">
        <v>158.1</v>
      </c>
      <c r="F131">
        <v>209.1</v>
      </c>
      <c r="G131" t="str">
        <f t="shared" si="9"/>
        <v>BrightUbe</v>
      </c>
      <c r="H131" t="str">
        <f t="shared" si="10"/>
        <v>D19FE8</v>
      </c>
      <c r="I131" t="str">
        <f t="shared" si="11"/>
        <v>D1</v>
      </c>
      <c r="J131" t="str">
        <f t="shared" si="12"/>
        <v>9F</v>
      </c>
      <c r="K131" t="str">
        <f t="shared" si="13"/>
        <v>E8</v>
      </c>
      <c r="L131">
        <f t="shared" si="14"/>
        <v>209</v>
      </c>
      <c r="M131">
        <f t="shared" si="15"/>
        <v>159</v>
      </c>
      <c r="N131">
        <f t="shared" si="16"/>
        <v>232</v>
      </c>
      <c r="P131" t="str">
        <f t="shared" si="17"/>
        <v>.BrightUbe-bg{background-color:#D19FE8;}</v>
      </c>
    </row>
    <row r="132" spans="2:16" ht="15.75">
      <c r="B132" s="1" t="s">
        <v>458</v>
      </c>
      <c r="C132" t="s">
        <v>459</v>
      </c>
      <c r="D132">
        <v>255</v>
      </c>
      <c r="E132">
        <v>170.85</v>
      </c>
      <c r="F132">
        <v>255</v>
      </c>
      <c r="G132" t="str">
        <f t="shared" ref="G132:G195" si="18">SUBSTITUTE(PROPER(AlphaNumericOnly(B132))," ","")</f>
        <v>BrightYellowCrayola</v>
      </c>
      <c r="H132" t="str">
        <f t="shared" ref="H132:H195" si="19">RIGHT(C132,6)</f>
        <v>FFAA1D</v>
      </c>
      <c r="I132" t="str">
        <f t="shared" ref="I132:I195" si="20">MID($H132,1,2)</f>
        <v>FF</v>
      </c>
      <c r="J132" t="str">
        <f t="shared" ref="J132:J195" si="21">MID($H132,3,2)</f>
        <v>AA</v>
      </c>
      <c r="K132" t="str">
        <f t="shared" ref="K132:K195" si="22">MID($H132,5,2)</f>
        <v>1D</v>
      </c>
      <c r="L132">
        <f t="shared" ref="L132:L195" si="23">HEX2DEC(I132)</f>
        <v>255</v>
      </c>
      <c r="M132">
        <f t="shared" ref="M132:M195" si="24">HEX2DEC(J132)</f>
        <v>170</v>
      </c>
      <c r="N132">
        <f t="shared" ref="N132:N195" si="25">HEX2DEC(K132)</f>
        <v>29</v>
      </c>
      <c r="P132" t="str">
        <f t="shared" ref="P132:P195" si="26">"."&amp;G132&amp;$P$1&amp;"{"&amp;$P$2&amp;":#"&amp;H132&amp;";}"</f>
        <v>.BrightYellowCrayola-bg{background-color:#FFAA1D;}</v>
      </c>
    </row>
    <row r="133" spans="2:16" ht="15.75">
      <c r="B133" s="1" t="s">
        <v>460</v>
      </c>
      <c r="C133" t="s">
        <v>461</v>
      </c>
      <c r="D133">
        <v>51</v>
      </c>
      <c r="E133">
        <v>153</v>
      </c>
      <c r="F133">
        <v>51</v>
      </c>
      <c r="G133" t="str">
        <f t="shared" si="18"/>
        <v>BrilliantAzure</v>
      </c>
      <c r="H133" t="str">
        <f t="shared" si="19"/>
        <v>3399FF</v>
      </c>
      <c r="I133" t="str">
        <f t="shared" si="20"/>
        <v>33</v>
      </c>
      <c r="J133" t="str">
        <f t="shared" si="21"/>
        <v>99</v>
      </c>
      <c r="K133" t="str">
        <f t="shared" si="22"/>
        <v>FF</v>
      </c>
      <c r="L133">
        <f t="shared" si="23"/>
        <v>51</v>
      </c>
      <c r="M133">
        <f t="shared" si="24"/>
        <v>153</v>
      </c>
      <c r="N133">
        <f t="shared" si="25"/>
        <v>255</v>
      </c>
      <c r="P133" t="str">
        <f t="shared" si="26"/>
        <v>.BrilliantAzure-bg{background-color:#3399FF;}</v>
      </c>
    </row>
    <row r="134" spans="2:16" ht="15.75">
      <c r="B134" s="1" t="s">
        <v>462</v>
      </c>
      <c r="C134" t="s">
        <v>463</v>
      </c>
      <c r="D134">
        <v>244.8</v>
      </c>
      <c r="E134">
        <v>186.15</v>
      </c>
      <c r="F134">
        <v>244.8</v>
      </c>
      <c r="G134" t="str">
        <f t="shared" si="18"/>
        <v>BrilliantLavender</v>
      </c>
      <c r="H134" t="str">
        <f t="shared" si="19"/>
        <v>F4BBFF</v>
      </c>
      <c r="I134" t="str">
        <f t="shared" si="20"/>
        <v>F4</v>
      </c>
      <c r="J134" t="str">
        <f t="shared" si="21"/>
        <v>BB</v>
      </c>
      <c r="K134" t="str">
        <f t="shared" si="22"/>
        <v>FF</v>
      </c>
      <c r="L134">
        <f t="shared" si="23"/>
        <v>244</v>
      </c>
      <c r="M134">
        <f t="shared" si="24"/>
        <v>187</v>
      </c>
      <c r="N134">
        <f t="shared" si="25"/>
        <v>255</v>
      </c>
      <c r="P134" t="str">
        <f t="shared" si="26"/>
        <v>.BrilliantLavender-bg{background-color:#F4BBFF;}</v>
      </c>
    </row>
    <row r="135" spans="2:16" ht="15.75">
      <c r="B135" s="1" t="s">
        <v>464</v>
      </c>
      <c r="C135" t="s">
        <v>465</v>
      </c>
      <c r="D135">
        <v>255</v>
      </c>
      <c r="E135">
        <v>84.15</v>
      </c>
      <c r="F135">
        <v>255</v>
      </c>
      <c r="G135" t="str">
        <f t="shared" si="18"/>
        <v>BrilliantRose</v>
      </c>
      <c r="H135" t="str">
        <f t="shared" si="19"/>
        <v>FF55A3</v>
      </c>
      <c r="I135" t="str">
        <f t="shared" si="20"/>
        <v>FF</v>
      </c>
      <c r="J135" t="str">
        <f t="shared" si="21"/>
        <v>55</v>
      </c>
      <c r="K135" t="str">
        <f t="shared" si="22"/>
        <v>A3</v>
      </c>
      <c r="L135">
        <f t="shared" si="23"/>
        <v>255</v>
      </c>
      <c r="M135">
        <f t="shared" si="24"/>
        <v>85</v>
      </c>
      <c r="N135">
        <f t="shared" si="25"/>
        <v>163</v>
      </c>
      <c r="P135" t="str">
        <f t="shared" si="26"/>
        <v>.BrilliantRose-bg{background-color:#FF55A3;}</v>
      </c>
    </row>
    <row r="136" spans="2:16" ht="15.75">
      <c r="B136" s="1" t="s">
        <v>466</v>
      </c>
      <c r="C136" t="s">
        <v>467</v>
      </c>
      <c r="D136">
        <v>249.9</v>
      </c>
      <c r="E136">
        <v>96.9</v>
      </c>
      <c r="F136">
        <v>249.9</v>
      </c>
      <c r="G136" t="str">
        <f t="shared" si="18"/>
        <v>BrinkPink</v>
      </c>
      <c r="H136" t="str">
        <f t="shared" si="19"/>
        <v>FB607F</v>
      </c>
      <c r="I136" t="str">
        <f t="shared" si="20"/>
        <v>FB</v>
      </c>
      <c r="J136" t="str">
        <f t="shared" si="21"/>
        <v>60</v>
      </c>
      <c r="K136" t="str">
        <f t="shared" si="22"/>
        <v>7F</v>
      </c>
      <c r="L136">
        <f t="shared" si="23"/>
        <v>251</v>
      </c>
      <c r="M136">
        <f t="shared" si="24"/>
        <v>96</v>
      </c>
      <c r="N136">
        <f t="shared" si="25"/>
        <v>127</v>
      </c>
      <c r="P136" t="str">
        <f t="shared" si="26"/>
        <v>.BrinkPink-bg{background-color:#FB607F;}</v>
      </c>
    </row>
    <row r="137" spans="2:16" ht="15.75">
      <c r="B137" s="1" t="s">
        <v>468</v>
      </c>
      <c r="C137" t="s">
        <v>469</v>
      </c>
      <c r="D137">
        <v>0</v>
      </c>
      <c r="E137">
        <v>66.3</v>
      </c>
      <c r="F137">
        <v>0</v>
      </c>
      <c r="G137" t="str">
        <f t="shared" si="18"/>
        <v>BritishRacingGreen</v>
      </c>
      <c r="H137" t="str">
        <f t="shared" si="19"/>
        <v>004225</v>
      </c>
      <c r="I137" t="str">
        <f t="shared" si="20"/>
        <v>00</v>
      </c>
      <c r="J137" t="str">
        <f t="shared" si="21"/>
        <v>42</v>
      </c>
      <c r="K137" t="str">
        <f t="shared" si="22"/>
        <v>25</v>
      </c>
      <c r="L137">
        <f t="shared" si="23"/>
        <v>0</v>
      </c>
      <c r="M137">
        <f t="shared" si="24"/>
        <v>66</v>
      </c>
      <c r="N137">
        <f t="shared" si="25"/>
        <v>37</v>
      </c>
      <c r="P137" t="str">
        <f t="shared" si="26"/>
        <v>.BritishRacingGreen-bg{background-color:#004225;}</v>
      </c>
    </row>
    <row r="138" spans="2:16" ht="15.75">
      <c r="B138" s="1" t="s">
        <v>470</v>
      </c>
      <c r="C138" t="s">
        <v>471</v>
      </c>
      <c r="D138">
        <v>204</v>
      </c>
      <c r="E138">
        <v>127.5</v>
      </c>
      <c r="F138">
        <v>204</v>
      </c>
      <c r="G138" t="str">
        <f t="shared" si="18"/>
        <v>Bronze</v>
      </c>
      <c r="H138" t="str">
        <f t="shared" si="19"/>
        <v>CD7F32</v>
      </c>
      <c r="I138" t="str">
        <f t="shared" si="20"/>
        <v>CD</v>
      </c>
      <c r="J138" t="str">
        <f t="shared" si="21"/>
        <v>7F</v>
      </c>
      <c r="K138" t="str">
        <f t="shared" si="22"/>
        <v>32</v>
      </c>
      <c r="L138">
        <f t="shared" si="23"/>
        <v>205</v>
      </c>
      <c r="M138">
        <f t="shared" si="24"/>
        <v>127</v>
      </c>
      <c r="N138">
        <f t="shared" si="25"/>
        <v>50</v>
      </c>
      <c r="P138" t="str">
        <f t="shared" si="26"/>
        <v>.Bronze-bg{background-color:#CD7F32;}</v>
      </c>
    </row>
    <row r="139" spans="2:16" ht="15.75">
      <c r="B139" s="1" t="s">
        <v>472</v>
      </c>
      <c r="C139" t="s">
        <v>473</v>
      </c>
      <c r="D139">
        <v>114.75</v>
      </c>
      <c r="E139">
        <v>112.2</v>
      </c>
      <c r="F139">
        <v>114.75</v>
      </c>
      <c r="G139" t="str">
        <f t="shared" si="18"/>
        <v>BronzeYellow</v>
      </c>
      <c r="H139" t="str">
        <f t="shared" si="19"/>
        <v>737000</v>
      </c>
      <c r="I139" t="str">
        <f t="shared" si="20"/>
        <v>73</v>
      </c>
      <c r="J139" t="str">
        <f t="shared" si="21"/>
        <v>70</v>
      </c>
      <c r="K139" t="str">
        <f t="shared" si="22"/>
        <v>00</v>
      </c>
      <c r="L139">
        <f t="shared" si="23"/>
        <v>115</v>
      </c>
      <c r="M139">
        <f t="shared" si="24"/>
        <v>112</v>
      </c>
      <c r="N139">
        <f t="shared" si="25"/>
        <v>0</v>
      </c>
      <c r="P139" t="str">
        <f t="shared" si="26"/>
        <v>.BronzeYellow-bg{background-color:#737000;}</v>
      </c>
    </row>
    <row r="140" spans="2:16" ht="15.75">
      <c r="B140" s="1" t="s">
        <v>474</v>
      </c>
      <c r="C140" t="s">
        <v>475</v>
      </c>
      <c r="D140">
        <v>150.44999999999999</v>
      </c>
      <c r="E140">
        <v>73.95</v>
      </c>
      <c r="F140">
        <v>150.44999999999999</v>
      </c>
      <c r="G140" t="str">
        <f t="shared" si="18"/>
        <v>BrownTraditional</v>
      </c>
      <c r="H140" t="str">
        <f t="shared" si="19"/>
        <v>964B00</v>
      </c>
      <c r="I140" t="str">
        <f t="shared" si="20"/>
        <v>96</v>
      </c>
      <c r="J140" t="str">
        <f t="shared" si="21"/>
        <v>4B</v>
      </c>
      <c r="K140" t="str">
        <f t="shared" si="22"/>
        <v>00</v>
      </c>
      <c r="L140">
        <f t="shared" si="23"/>
        <v>150</v>
      </c>
      <c r="M140">
        <f t="shared" si="24"/>
        <v>75</v>
      </c>
      <c r="N140">
        <f t="shared" si="25"/>
        <v>0</v>
      </c>
      <c r="P140" t="str">
        <f t="shared" si="26"/>
        <v>.BrownTraditional-bg{background-color:#964B00;}</v>
      </c>
    </row>
    <row r="141" spans="2:16" ht="15.75">
      <c r="B141" s="1" t="s">
        <v>476</v>
      </c>
      <c r="C141" t="s">
        <v>292</v>
      </c>
      <c r="D141">
        <v>165.75</v>
      </c>
      <c r="E141">
        <v>40.799999999999997</v>
      </c>
      <c r="F141">
        <v>165.75</v>
      </c>
      <c r="G141" t="str">
        <f t="shared" si="18"/>
        <v>BrownWeb</v>
      </c>
      <c r="H141" t="str">
        <f t="shared" si="19"/>
        <v>A52A2A</v>
      </c>
      <c r="I141" t="str">
        <f t="shared" si="20"/>
        <v>A5</v>
      </c>
      <c r="J141" t="str">
        <f t="shared" si="21"/>
        <v>2A</v>
      </c>
      <c r="K141" t="str">
        <f t="shared" si="22"/>
        <v>2A</v>
      </c>
      <c r="L141">
        <f t="shared" si="23"/>
        <v>165</v>
      </c>
      <c r="M141">
        <f t="shared" si="24"/>
        <v>42</v>
      </c>
      <c r="N141">
        <f t="shared" si="25"/>
        <v>42</v>
      </c>
      <c r="P141" t="str">
        <f t="shared" si="26"/>
        <v>.BrownWeb-bg{background-color:#A52A2A;}</v>
      </c>
    </row>
    <row r="142" spans="2:16" ht="15.75">
      <c r="B142" s="1" t="s">
        <v>477</v>
      </c>
      <c r="C142" t="s">
        <v>478</v>
      </c>
      <c r="D142">
        <v>107.1</v>
      </c>
      <c r="E142">
        <v>68.849999999999994</v>
      </c>
      <c r="F142">
        <v>107.1</v>
      </c>
      <c r="G142" t="str">
        <f t="shared" si="18"/>
        <v>Brownnose</v>
      </c>
      <c r="H142" t="str">
        <f t="shared" si="19"/>
        <v>6B4423</v>
      </c>
      <c r="I142" t="str">
        <f t="shared" si="20"/>
        <v>6B</v>
      </c>
      <c r="J142" t="str">
        <f t="shared" si="21"/>
        <v>44</v>
      </c>
      <c r="K142" t="str">
        <f t="shared" si="22"/>
        <v>23</v>
      </c>
      <c r="L142">
        <f t="shared" si="23"/>
        <v>107</v>
      </c>
      <c r="M142">
        <f t="shared" si="24"/>
        <v>68</v>
      </c>
      <c r="N142">
        <f t="shared" si="25"/>
        <v>35</v>
      </c>
      <c r="P142" t="str">
        <f t="shared" si="26"/>
        <v>.Brownnose-bg{background-color:#6B4423;}</v>
      </c>
    </row>
    <row r="143" spans="2:16" ht="15.75">
      <c r="B143" s="1" t="s">
        <v>479</v>
      </c>
      <c r="C143" t="s">
        <v>480</v>
      </c>
      <c r="D143">
        <v>175.95</v>
      </c>
      <c r="E143">
        <v>109.65</v>
      </c>
      <c r="F143">
        <v>175.95</v>
      </c>
      <c r="G143" t="str">
        <f t="shared" si="18"/>
        <v>BrownSugar</v>
      </c>
      <c r="H143" t="str">
        <f t="shared" si="19"/>
        <v>AF6E4D</v>
      </c>
      <c r="I143" t="str">
        <f t="shared" si="20"/>
        <v>AF</v>
      </c>
      <c r="J143" t="str">
        <f t="shared" si="21"/>
        <v>6E</v>
      </c>
      <c r="K143" t="str">
        <f t="shared" si="22"/>
        <v>4D</v>
      </c>
      <c r="L143">
        <f t="shared" si="23"/>
        <v>175</v>
      </c>
      <c r="M143">
        <f t="shared" si="24"/>
        <v>110</v>
      </c>
      <c r="N143">
        <f t="shared" si="25"/>
        <v>77</v>
      </c>
      <c r="P143" t="str">
        <f t="shared" si="26"/>
        <v>.BrownSugar-bg{background-color:#AF6E4D;}</v>
      </c>
    </row>
    <row r="144" spans="2:16" ht="15.75">
      <c r="B144" s="1" t="s">
        <v>481</v>
      </c>
      <c r="C144" t="s">
        <v>482</v>
      </c>
      <c r="D144">
        <v>204</v>
      </c>
      <c r="E144">
        <v>153</v>
      </c>
      <c r="F144">
        <v>204</v>
      </c>
      <c r="G144" t="str">
        <f t="shared" si="18"/>
        <v>BrownYellow</v>
      </c>
      <c r="H144" t="str">
        <f t="shared" si="19"/>
        <v>cc9966</v>
      </c>
      <c r="I144" t="str">
        <f t="shared" si="20"/>
        <v>cc</v>
      </c>
      <c r="J144" t="str">
        <f t="shared" si="21"/>
        <v>99</v>
      </c>
      <c r="K144" t="str">
        <f t="shared" si="22"/>
        <v>66</v>
      </c>
      <c r="L144">
        <f t="shared" si="23"/>
        <v>204</v>
      </c>
      <c r="M144">
        <f t="shared" si="24"/>
        <v>153</v>
      </c>
      <c r="N144">
        <f t="shared" si="25"/>
        <v>102</v>
      </c>
      <c r="P144" t="str">
        <f t="shared" si="26"/>
        <v>.BrownYellow-bg{background-color:#cc9966;}</v>
      </c>
    </row>
    <row r="145" spans="2:16" ht="15.75">
      <c r="B145" s="1" t="s">
        <v>483</v>
      </c>
      <c r="C145" t="s">
        <v>484</v>
      </c>
      <c r="D145">
        <v>28.05</v>
      </c>
      <c r="E145">
        <v>76.5</v>
      </c>
      <c r="F145">
        <v>28.05</v>
      </c>
      <c r="G145" t="str">
        <f t="shared" si="18"/>
        <v>BrunswickGreen</v>
      </c>
      <c r="H145" t="str">
        <f t="shared" si="19"/>
        <v>1B4D3E</v>
      </c>
      <c r="I145" t="str">
        <f t="shared" si="20"/>
        <v>1B</v>
      </c>
      <c r="J145" t="str">
        <f t="shared" si="21"/>
        <v>4D</v>
      </c>
      <c r="K145" t="str">
        <f t="shared" si="22"/>
        <v>3E</v>
      </c>
      <c r="L145">
        <f t="shared" si="23"/>
        <v>27</v>
      </c>
      <c r="M145">
        <f t="shared" si="24"/>
        <v>77</v>
      </c>
      <c r="N145">
        <f t="shared" si="25"/>
        <v>62</v>
      </c>
      <c r="P145" t="str">
        <f t="shared" si="26"/>
        <v>.BrunswickGreen-bg{background-color:#1B4D3E;}</v>
      </c>
    </row>
    <row r="146" spans="2:16" ht="15.75">
      <c r="B146" s="1" t="s">
        <v>485</v>
      </c>
      <c r="C146" t="s">
        <v>486</v>
      </c>
      <c r="D146">
        <v>255</v>
      </c>
      <c r="E146">
        <v>193.8</v>
      </c>
      <c r="F146">
        <v>255</v>
      </c>
      <c r="G146" t="str">
        <f t="shared" si="18"/>
        <v>BubbleGum</v>
      </c>
      <c r="H146" t="str">
        <f t="shared" si="19"/>
        <v>FFC1CC</v>
      </c>
      <c r="I146" t="str">
        <f t="shared" si="20"/>
        <v>FF</v>
      </c>
      <c r="J146" t="str">
        <f t="shared" si="21"/>
        <v>C1</v>
      </c>
      <c r="K146" t="str">
        <f t="shared" si="22"/>
        <v>CC</v>
      </c>
      <c r="L146">
        <f t="shared" si="23"/>
        <v>255</v>
      </c>
      <c r="M146">
        <f t="shared" si="24"/>
        <v>193</v>
      </c>
      <c r="N146">
        <f t="shared" si="25"/>
        <v>204</v>
      </c>
      <c r="P146" t="str">
        <f t="shared" si="26"/>
        <v>.BubbleGum-bg{background-color:#FFC1CC;}</v>
      </c>
    </row>
    <row r="147" spans="2:16" ht="15.75">
      <c r="B147" s="1" t="s">
        <v>487</v>
      </c>
      <c r="C147" t="s">
        <v>488</v>
      </c>
      <c r="D147">
        <v>232.05</v>
      </c>
      <c r="E147">
        <v>255</v>
      </c>
      <c r="F147">
        <v>232.05</v>
      </c>
      <c r="G147" t="str">
        <f t="shared" si="18"/>
        <v>Bubbles</v>
      </c>
      <c r="H147" t="str">
        <f t="shared" si="19"/>
        <v>E7FEFF</v>
      </c>
      <c r="I147" t="str">
        <f t="shared" si="20"/>
        <v>E7</v>
      </c>
      <c r="J147" t="str">
        <f t="shared" si="21"/>
        <v>FE</v>
      </c>
      <c r="K147" t="str">
        <f t="shared" si="22"/>
        <v>FF</v>
      </c>
      <c r="L147">
        <f t="shared" si="23"/>
        <v>231</v>
      </c>
      <c r="M147">
        <f t="shared" si="24"/>
        <v>254</v>
      </c>
      <c r="N147">
        <f t="shared" si="25"/>
        <v>255</v>
      </c>
      <c r="P147" t="str">
        <f t="shared" si="26"/>
        <v>.Bubbles-bg{background-color:#E7FEFF;}</v>
      </c>
    </row>
    <row r="148" spans="2:16" ht="15.75">
      <c r="B148" s="1" t="s">
        <v>489</v>
      </c>
      <c r="C148" t="s">
        <v>490</v>
      </c>
      <c r="D148">
        <v>122.4</v>
      </c>
      <c r="E148">
        <v>181.05</v>
      </c>
      <c r="F148">
        <v>122.4</v>
      </c>
      <c r="G148" t="str">
        <f t="shared" si="18"/>
        <v>BudGreen</v>
      </c>
      <c r="H148" t="str">
        <f t="shared" si="19"/>
        <v>7BB661</v>
      </c>
      <c r="I148" t="str">
        <f t="shared" si="20"/>
        <v>7B</v>
      </c>
      <c r="J148" t="str">
        <f t="shared" si="21"/>
        <v>B6</v>
      </c>
      <c r="K148" t="str">
        <f t="shared" si="22"/>
        <v>61</v>
      </c>
      <c r="L148">
        <f t="shared" si="23"/>
        <v>123</v>
      </c>
      <c r="M148">
        <f t="shared" si="24"/>
        <v>182</v>
      </c>
      <c r="N148">
        <f t="shared" si="25"/>
        <v>97</v>
      </c>
      <c r="P148" t="str">
        <f t="shared" si="26"/>
        <v>.BudGreen-bg{background-color:#7BB661;}</v>
      </c>
    </row>
    <row r="149" spans="2:16" ht="15.75">
      <c r="B149" s="1" t="s">
        <v>491</v>
      </c>
      <c r="C149" t="s">
        <v>492</v>
      </c>
      <c r="D149">
        <v>239.7</v>
      </c>
      <c r="E149">
        <v>219.3</v>
      </c>
      <c r="F149">
        <v>239.7</v>
      </c>
      <c r="G149" t="str">
        <f t="shared" si="18"/>
        <v>Buff</v>
      </c>
      <c r="H149" t="str">
        <f t="shared" si="19"/>
        <v>F0DC82</v>
      </c>
      <c r="I149" t="str">
        <f t="shared" si="20"/>
        <v>F0</v>
      </c>
      <c r="J149" t="str">
        <f t="shared" si="21"/>
        <v>DC</v>
      </c>
      <c r="K149" t="str">
        <f t="shared" si="22"/>
        <v>82</v>
      </c>
      <c r="L149">
        <f t="shared" si="23"/>
        <v>240</v>
      </c>
      <c r="M149">
        <f t="shared" si="24"/>
        <v>220</v>
      </c>
      <c r="N149">
        <f t="shared" si="25"/>
        <v>130</v>
      </c>
      <c r="P149" t="str">
        <f t="shared" si="26"/>
        <v>.Buff-bg{background-color:#F0DC82;}</v>
      </c>
    </row>
    <row r="150" spans="2:16" ht="15.75">
      <c r="B150" s="1" t="s">
        <v>493</v>
      </c>
      <c r="C150" t="s">
        <v>494</v>
      </c>
      <c r="D150">
        <v>71.400000000000006</v>
      </c>
      <c r="E150">
        <v>5.0999999999999996</v>
      </c>
      <c r="F150">
        <v>71.400000000000006</v>
      </c>
      <c r="G150" t="str">
        <f t="shared" si="18"/>
        <v>BulgarianRose</v>
      </c>
      <c r="H150" t="str">
        <f t="shared" si="19"/>
        <v>480607</v>
      </c>
      <c r="I150" t="str">
        <f t="shared" si="20"/>
        <v>48</v>
      </c>
      <c r="J150" t="str">
        <f t="shared" si="21"/>
        <v>06</v>
      </c>
      <c r="K150" t="str">
        <f t="shared" si="22"/>
        <v>07</v>
      </c>
      <c r="L150">
        <f t="shared" si="23"/>
        <v>72</v>
      </c>
      <c r="M150">
        <f t="shared" si="24"/>
        <v>6</v>
      </c>
      <c r="N150">
        <f t="shared" si="25"/>
        <v>7</v>
      </c>
      <c r="P150" t="str">
        <f t="shared" si="26"/>
        <v>.BulgarianRose-bg{background-color:#480607;}</v>
      </c>
    </row>
    <row r="151" spans="2:16" ht="15.75">
      <c r="B151" s="1" t="s">
        <v>495</v>
      </c>
      <c r="C151" t="s">
        <v>496</v>
      </c>
      <c r="D151">
        <v>127.5</v>
      </c>
      <c r="E151">
        <v>0</v>
      </c>
      <c r="F151">
        <v>127.5</v>
      </c>
      <c r="G151" t="str">
        <f t="shared" si="18"/>
        <v>Burgundy</v>
      </c>
      <c r="H151" t="str">
        <f t="shared" si="19"/>
        <v>800020</v>
      </c>
      <c r="I151" t="str">
        <f t="shared" si="20"/>
        <v>80</v>
      </c>
      <c r="J151" t="str">
        <f t="shared" si="21"/>
        <v>00</v>
      </c>
      <c r="K151" t="str">
        <f t="shared" si="22"/>
        <v>20</v>
      </c>
      <c r="L151">
        <f t="shared" si="23"/>
        <v>128</v>
      </c>
      <c r="M151">
        <f t="shared" si="24"/>
        <v>0</v>
      </c>
      <c r="N151">
        <f t="shared" si="25"/>
        <v>32</v>
      </c>
      <c r="P151" t="str">
        <f t="shared" si="26"/>
        <v>.Burgundy-bg{background-color:#800020;}</v>
      </c>
    </row>
    <row r="152" spans="2:16" ht="15.75">
      <c r="B152" s="1" t="s">
        <v>497</v>
      </c>
      <c r="C152" t="s">
        <v>498</v>
      </c>
      <c r="D152">
        <v>221.85</v>
      </c>
      <c r="E152">
        <v>183.6</v>
      </c>
      <c r="F152">
        <v>221.85</v>
      </c>
      <c r="G152" t="str">
        <f t="shared" si="18"/>
        <v>Burlywood</v>
      </c>
      <c r="H152" t="str">
        <f t="shared" si="19"/>
        <v>DEB887</v>
      </c>
      <c r="I152" t="str">
        <f t="shared" si="20"/>
        <v>DE</v>
      </c>
      <c r="J152" t="str">
        <f t="shared" si="21"/>
        <v>B8</v>
      </c>
      <c r="K152" t="str">
        <f t="shared" si="22"/>
        <v>87</v>
      </c>
      <c r="L152">
        <f t="shared" si="23"/>
        <v>222</v>
      </c>
      <c r="M152">
        <f t="shared" si="24"/>
        <v>184</v>
      </c>
      <c r="N152">
        <f t="shared" si="25"/>
        <v>135</v>
      </c>
      <c r="P152" t="str">
        <f t="shared" si="26"/>
        <v>.Burlywood-bg{background-color:#DEB887;}</v>
      </c>
    </row>
    <row r="153" spans="2:16" ht="15.75">
      <c r="B153" s="1" t="s">
        <v>499</v>
      </c>
      <c r="C153" t="s">
        <v>500</v>
      </c>
      <c r="D153">
        <v>160.65</v>
      </c>
      <c r="E153">
        <v>122.4</v>
      </c>
      <c r="F153">
        <v>160.65</v>
      </c>
      <c r="G153" t="str">
        <f t="shared" si="18"/>
        <v>BurnishedBrown</v>
      </c>
      <c r="H153" t="str">
        <f t="shared" si="19"/>
        <v>A17A74</v>
      </c>
      <c r="I153" t="str">
        <f t="shared" si="20"/>
        <v>A1</v>
      </c>
      <c r="J153" t="str">
        <f t="shared" si="21"/>
        <v>7A</v>
      </c>
      <c r="K153" t="str">
        <f t="shared" si="22"/>
        <v>74</v>
      </c>
      <c r="L153">
        <f t="shared" si="23"/>
        <v>161</v>
      </c>
      <c r="M153">
        <f t="shared" si="24"/>
        <v>122</v>
      </c>
      <c r="N153">
        <f t="shared" si="25"/>
        <v>116</v>
      </c>
      <c r="P153" t="str">
        <f t="shared" si="26"/>
        <v>.BurnishedBrown-bg{background-color:#A17A74;}</v>
      </c>
    </row>
    <row r="154" spans="2:16" ht="15.75">
      <c r="B154" s="1" t="s">
        <v>501</v>
      </c>
      <c r="C154" t="s">
        <v>502</v>
      </c>
      <c r="D154">
        <v>204</v>
      </c>
      <c r="E154">
        <v>84.15</v>
      </c>
      <c r="F154">
        <v>204</v>
      </c>
      <c r="G154" t="str">
        <f t="shared" si="18"/>
        <v>BurntOrange</v>
      </c>
      <c r="H154" t="str">
        <f t="shared" si="19"/>
        <v>CC5500</v>
      </c>
      <c r="I154" t="str">
        <f t="shared" si="20"/>
        <v>CC</v>
      </c>
      <c r="J154" t="str">
        <f t="shared" si="21"/>
        <v>55</v>
      </c>
      <c r="K154" t="str">
        <f t="shared" si="22"/>
        <v>00</v>
      </c>
      <c r="L154">
        <f t="shared" si="23"/>
        <v>204</v>
      </c>
      <c r="M154">
        <f t="shared" si="24"/>
        <v>85</v>
      </c>
      <c r="N154">
        <f t="shared" si="25"/>
        <v>0</v>
      </c>
      <c r="P154" t="str">
        <f t="shared" si="26"/>
        <v>.BurntOrange-bg{background-color:#CC5500;}</v>
      </c>
    </row>
    <row r="155" spans="2:16" ht="15.75">
      <c r="B155" s="1" t="s">
        <v>503</v>
      </c>
      <c r="C155" t="s">
        <v>504</v>
      </c>
      <c r="D155">
        <v>232.05</v>
      </c>
      <c r="E155">
        <v>114.75</v>
      </c>
      <c r="F155">
        <v>232.05</v>
      </c>
      <c r="G155" t="str">
        <f t="shared" si="18"/>
        <v>BurntSienna</v>
      </c>
      <c r="H155" t="str">
        <f t="shared" si="19"/>
        <v>E97451</v>
      </c>
      <c r="I155" t="str">
        <f t="shared" si="20"/>
        <v>E9</v>
      </c>
      <c r="J155" t="str">
        <f t="shared" si="21"/>
        <v>74</v>
      </c>
      <c r="K155" t="str">
        <f t="shared" si="22"/>
        <v>51</v>
      </c>
      <c r="L155">
        <f t="shared" si="23"/>
        <v>233</v>
      </c>
      <c r="M155">
        <f t="shared" si="24"/>
        <v>116</v>
      </c>
      <c r="N155">
        <f t="shared" si="25"/>
        <v>81</v>
      </c>
      <c r="P155" t="str">
        <f t="shared" si="26"/>
        <v>.BurntSienna-bg{background-color:#E97451;}</v>
      </c>
    </row>
    <row r="156" spans="2:16" ht="15.75">
      <c r="B156" s="1" t="s">
        <v>505</v>
      </c>
      <c r="C156" t="s">
        <v>506</v>
      </c>
      <c r="D156">
        <v>137.69999999999999</v>
      </c>
      <c r="E156">
        <v>51</v>
      </c>
      <c r="F156">
        <v>137.69999999999999</v>
      </c>
      <c r="G156" t="str">
        <f t="shared" si="18"/>
        <v>BurntUmber</v>
      </c>
      <c r="H156" t="str">
        <f t="shared" si="19"/>
        <v>8A3324</v>
      </c>
      <c r="I156" t="str">
        <f t="shared" si="20"/>
        <v>8A</v>
      </c>
      <c r="J156" t="str">
        <f t="shared" si="21"/>
        <v>33</v>
      </c>
      <c r="K156" t="str">
        <f t="shared" si="22"/>
        <v>24</v>
      </c>
      <c r="L156">
        <f t="shared" si="23"/>
        <v>138</v>
      </c>
      <c r="M156">
        <f t="shared" si="24"/>
        <v>51</v>
      </c>
      <c r="N156">
        <f t="shared" si="25"/>
        <v>36</v>
      </c>
      <c r="P156" t="str">
        <f t="shared" si="26"/>
        <v>.BurntUmber-bg{background-color:#8A3324;}</v>
      </c>
    </row>
    <row r="157" spans="2:16" ht="15.75">
      <c r="B157" s="1" t="s">
        <v>507</v>
      </c>
      <c r="C157" t="s">
        <v>508</v>
      </c>
      <c r="D157">
        <v>188.7</v>
      </c>
      <c r="E157">
        <v>51</v>
      </c>
      <c r="F157">
        <v>188.7</v>
      </c>
      <c r="G157" t="str">
        <f t="shared" si="18"/>
        <v>Byzantine</v>
      </c>
      <c r="H157" t="str">
        <f t="shared" si="19"/>
        <v>BD33A4</v>
      </c>
      <c r="I157" t="str">
        <f t="shared" si="20"/>
        <v>BD</v>
      </c>
      <c r="J157" t="str">
        <f t="shared" si="21"/>
        <v>33</v>
      </c>
      <c r="K157" t="str">
        <f t="shared" si="22"/>
        <v>A4</v>
      </c>
      <c r="L157">
        <f t="shared" si="23"/>
        <v>189</v>
      </c>
      <c r="M157">
        <f t="shared" si="24"/>
        <v>51</v>
      </c>
      <c r="N157">
        <f t="shared" si="25"/>
        <v>164</v>
      </c>
      <c r="P157" t="str">
        <f t="shared" si="26"/>
        <v>.Byzantine-bg{background-color:#BD33A4;}</v>
      </c>
    </row>
    <row r="158" spans="2:16" ht="15.75">
      <c r="B158" s="1" t="s">
        <v>509</v>
      </c>
      <c r="C158" t="s">
        <v>510</v>
      </c>
      <c r="D158">
        <v>112.2</v>
      </c>
      <c r="E158">
        <v>40.799999999999997</v>
      </c>
      <c r="F158">
        <v>112.2</v>
      </c>
      <c r="G158" t="str">
        <f t="shared" si="18"/>
        <v>Byzantium</v>
      </c>
      <c r="H158" t="str">
        <f t="shared" si="19"/>
        <v>702963</v>
      </c>
      <c r="I158" t="str">
        <f t="shared" si="20"/>
        <v>70</v>
      </c>
      <c r="J158" t="str">
        <f t="shared" si="21"/>
        <v>29</v>
      </c>
      <c r="K158" t="str">
        <f t="shared" si="22"/>
        <v>63</v>
      </c>
      <c r="L158">
        <f t="shared" si="23"/>
        <v>112</v>
      </c>
      <c r="M158">
        <f t="shared" si="24"/>
        <v>41</v>
      </c>
      <c r="N158">
        <f t="shared" si="25"/>
        <v>99</v>
      </c>
      <c r="P158" t="str">
        <f t="shared" si="26"/>
        <v>.Byzantium-bg{background-color:#702963;}</v>
      </c>
    </row>
    <row r="159" spans="2:16" ht="15.75">
      <c r="B159" s="1" t="s">
        <v>511</v>
      </c>
      <c r="C159" t="s">
        <v>512</v>
      </c>
      <c r="D159">
        <v>84.15</v>
      </c>
      <c r="E159">
        <v>104.55</v>
      </c>
      <c r="F159">
        <v>84.15</v>
      </c>
      <c r="G159" t="str">
        <f t="shared" si="18"/>
        <v>Cadet</v>
      </c>
      <c r="H159" t="str">
        <f t="shared" si="19"/>
        <v>536872</v>
      </c>
      <c r="I159" t="str">
        <f t="shared" si="20"/>
        <v>53</v>
      </c>
      <c r="J159" t="str">
        <f t="shared" si="21"/>
        <v>68</v>
      </c>
      <c r="K159" t="str">
        <f t="shared" si="22"/>
        <v>72</v>
      </c>
      <c r="L159">
        <f t="shared" si="23"/>
        <v>83</v>
      </c>
      <c r="M159">
        <f t="shared" si="24"/>
        <v>104</v>
      </c>
      <c r="N159">
        <f t="shared" si="25"/>
        <v>114</v>
      </c>
      <c r="P159" t="str">
        <f t="shared" si="26"/>
        <v>.Cadet-bg{background-color:#536872;}</v>
      </c>
    </row>
    <row r="160" spans="2:16" ht="15.75">
      <c r="B160" s="1" t="s">
        <v>513</v>
      </c>
      <c r="C160" t="s">
        <v>514</v>
      </c>
      <c r="D160">
        <v>94.35</v>
      </c>
      <c r="E160">
        <v>158.1</v>
      </c>
      <c r="F160">
        <v>94.35</v>
      </c>
      <c r="G160" t="str">
        <f t="shared" si="18"/>
        <v>CadetBlue</v>
      </c>
      <c r="H160" t="str">
        <f t="shared" si="19"/>
        <v>5F9EA0</v>
      </c>
      <c r="I160" t="str">
        <f t="shared" si="20"/>
        <v>5F</v>
      </c>
      <c r="J160" t="str">
        <f t="shared" si="21"/>
        <v>9E</v>
      </c>
      <c r="K160" t="str">
        <f t="shared" si="22"/>
        <v>A0</v>
      </c>
      <c r="L160">
        <f t="shared" si="23"/>
        <v>95</v>
      </c>
      <c r="M160">
        <f t="shared" si="24"/>
        <v>158</v>
      </c>
      <c r="N160">
        <f t="shared" si="25"/>
        <v>160</v>
      </c>
      <c r="P160" t="str">
        <f t="shared" si="26"/>
        <v>.CadetBlue-bg{background-color:#5F9EA0;}</v>
      </c>
    </row>
    <row r="161" spans="2:16" ht="15.75">
      <c r="B161" s="1" t="s">
        <v>515</v>
      </c>
      <c r="C161" t="s">
        <v>516</v>
      </c>
      <c r="D161">
        <v>145.35</v>
      </c>
      <c r="E161">
        <v>163.19999999999999</v>
      </c>
      <c r="F161">
        <v>145.35</v>
      </c>
      <c r="G161" t="str">
        <f t="shared" si="18"/>
        <v>CadetGrey</v>
      </c>
      <c r="H161" t="str">
        <f t="shared" si="19"/>
        <v>91A3B0</v>
      </c>
      <c r="I161" t="str">
        <f t="shared" si="20"/>
        <v>91</v>
      </c>
      <c r="J161" t="str">
        <f t="shared" si="21"/>
        <v>A3</v>
      </c>
      <c r="K161" t="str">
        <f t="shared" si="22"/>
        <v>B0</v>
      </c>
      <c r="L161">
        <f t="shared" si="23"/>
        <v>145</v>
      </c>
      <c r="M161">
        <f t="shared" si="24"/>
        <v>163</v>
      </c>
      <c r="N161">
        <f t="shared" si="25"/>
        <v>176</v>
      </c>
      <c r="P161" t="str">
        <f t="shared" si="26"/>
        <v>.CadetGrey-bg{background-color:#91A3B0;}</v>
      </c>
    </row>
    <row r="162" spans="2:16" ht="15.75">
      <c r="B162" s="1" t="s">
        <v>517</v>
      </c>
      <c r="C162" t="s">
        <v>518</v>
      </c>
      <c r="D162">
        <v>0</v>
      </c>
      <c r="E162">
        <v>107.1</v>
      </c>
      <c r="F162">
        <v>0</v>
      </c>
      <c r="G162" t="str">
        <f t="shared" si="18"/>
        <v>CadmiumGreen</v>
      </c>
      <c r="H162" t="str">
        <f t="shared" si="19"/>
        <v>006B3C</v>
      </c>
      <c r="I162" t="str">
        <f t="shared" si="20"/>
        <v>00</v>
      </c>
      <c r="J162" t="str">
        <f t="shared" si="21"/>
        <v>6B</v>
      </c>
      <c r="K162" t="str">
        <f t="shared" si="22"/>
        <v>3C</v>
      </c>
      <c r="L162">
        <f t="shared" si="23"/>
        <v>0</v>
      </c>
      <c r="M162">
        <f t="shared" si="24"/>
        <v>107</v>
      </c>
      <c r="N162">
        <f t="shared" si="25"/>
        <v>60</v>
      </c>
      <c r="P162" t="str">
        <f t="shared" si="26"/>
        <v>.CadmiumGreen-bg{background-color:#006B3C;}</v>
      </c>
    </row>
    <row r="163" spans="2:16" ht="15.75">
      <c r="B163" s="1" t="s">
        <v>519</v>
      </c>
      <c r="C163" t="s">
        <v>520</v>
      </c>
      <c r="D163">
        <v>237.15</v>
      </c>
      <c r="E163">
        <v>135.15</v>
      </c>
      <c r="F163">
        <v>237.15</v>
      </c>
      <c r="G163" t="str">
        <f t="shared" si="18"/>
        <v>CadmiumOrange</v>
      </c>
      <c r="H163" t="str">
        <f t="shared" si="19"/>
        <v>ED872D</v>
      </c>
      <c r="I163" t="str">
        <f t="shared" si="20"/>
        <v>ED</v>
      </c>
      <c r="J163" t="str">
        <f t="shared" si="21"/>
        <v>87</v>
      </c>
      <c r="K163" t="str">
        <f t="shared" si="22"/>
        <v>2D</v>
      </c>
      <c r="L163">
        <f t="shared" si="23"/>
        <v>237</v>
      </c>
      <c r="M163">
        <f t="shared" si="24"/>
        <v>135</v>
      </c>
      <c r="N163">
        <f t="shared" si="25"/>
        <v>45</v>
      </c>
      <c r="P163" t="str">
        <f t="shared" si="26"/>
        <v>.CadmiumOrange-bg{background-color:#ED872D;}</v>
      </c>
    </row>
    <row r="164" spans="2:16" ht="15.75">
      <c r="B164" s="1" t="s">
        <v>521</v>
      </c>
      <c r="C164" t="s">
        <v>522</v>
      </c>
      <c r="D164">
        <v>226.95</v>
      </c>
      <c r="E164">
        <v>0</v>
      </c>
      <c r="F164">
        <v>226.95</v>
      </c>
      <c r="G164" t="str">
        <f t="shared" si="18"/>
        <v>CadmiumRed</v>
      </c>
      <c r="H164" t="str">
        <f t="shared" si="19"/>
        <v>E30022</v>
      </c>
      <c r="I164" t="str">
        <f t="shared" si="20"/>
        <v>E3</v>
      </c>
      <c r="J164" t="str">
        <f t="shared" si="21"/>
        <v>00</v>
      </c>
      <c r="K164" t="str">
        <f t="shared" si="22"/>
        <v>22</v>
      </c>
      <c r="L164">
        <f t="shared" si="23"/>
        <v>227</v>
      </c>
      <c r="M164">
        <f t="shared" si="24"/>
        <v>0</v>
      </c>
      <c r="N164">
        <f t="shared" si="25"/>
        <v>34</v>
      </c>
      <c r="P164" t="str">
        <f t="shared" si="26"/>
        <v>.CadmiumRed-bg{background-color:#E30022;}</v>
      </c>
    </row>
    <row r="165" spans="2:16" ht="15.75">
      <c r="B165" s="1" t="s">
        <v>523</v>
      </c>
      <c r="C165" t="s">
        <v>524</v>
      </c>
      <c r="D165">
        <v>255</v>
      </c>
      <c r="E165">
        <v>244.8</v>
      </c>
      <c r="F165">
        <v>255</v>
      </c>
      <c r="G165" t="str">
        <f t="shared" si="18"/>
        <v>CadmiumYellow</v>
      </c>
      <c r="H165" t="str">
        <f t="shared" si="19"/>
        <v>FFF600</v>
      </c>
      <c r="I165" t="str">
        <f t="shared" si="20"/>
        <v>FF</v>
      </c>
      <c r="J165" t="str">
        <f t="shared" si="21"/>
        <v>F6</v>
      </c>
      <c r="K165" t="str">
        <f t="shared" si="22"/>
        <v>00</v>
      </c>
      <c r="L165">
        <f t="shared" si="23"/>
        <v>255</v>
      </c>
      <c r="M165">
        <f t="shared" si="24"/>
        <v>246</v>
      </c>
      <c r="N165">
        <f t="shared" si="25"/>
        <v>0</v>
      </c>
      <c r="P165" t="str">
        <f t="shared" si="26"/>
        <v>.CadmiumYellow-bg{background-color:#FFF600;}</v>
      </c>
    </row>
    <row r="166" spans="2:16" ht="15.75">
      <c r="B166" s="1" t="s">
        <v>525</v>
      </c>
      <c r="C166" t="s">
        <v>526</v>
      </c>
      <c r="D166">
        <v>165.75</v>
      </c>
      <c r="E166">
        <v>122.4</v>
      </c>
      <c r="F166">
        <v>165.75</v>
      </c>
      <c r="G166" t="str">
        <f t="shared" si="18"/>
        <v>CafAuLait</v>
      </c>
      <c r="H166" t="str">
        <f t="shared" si="19"/>
        <v>A67B5B</v>
      </c>
      <c r="I166" t="str">
        <f t="shared" si="20"/>
        <v>A6</v>
      </c>
      <c r="J166" t="str">
        <f t="shared" si="21"/>
        <v>7B</v>
      </c>
      <c r="K166" t="str">
        <f t="shared" si="22"/>
        <v>5B</v>
      </c>
      <c r="L166">
        <f t="shared" si="23"/>
        <v>166</v>
      </c>
      <c r="M166">
        <f t="shared" si="24"/>
        <v>123</v>
      </c>
      <c r="N166">
        <f t="shared" si="25"/>
        <v>91</v>
      </c>
      <c r="P166" t="str">
        <f t="shared" si="26"/>
        <v>.CafAuLait-bg{background-color:#A67B5B;}</v>
      </c>
    </row>
    <row r="167" spans="2:16" ht="15.75">
      <c r="B167" s="1" t="s">
        <v>527</v>
      </c>
      <c r="C167" t="s">
        <v>528</v>
      </c>
      <c r="D167">
        <v>73.95</v>
      </c>
      <c r="E167">
        <v>53.55</v>
      </c>
      <c r="F167">
        <v>73.95</v>
      </c>
      <c r="G167" t="str">
        <f t="shared" si="18"/>
        <v>CafNoir</v>
      </c>
      <c r="H167" t="str">
        <f t="shared" si="19"/>
        <v>4B3621</v>
      </c>
      <c r="I167" t="str">
        <f t="shared" si="20"/>
        <v>4B</v>
      </c>
      <c r="J167" t="str">
        <f t="shared" si="21"/>
        <v>36</v>
      </c>
      <c r="K167" t="str">
        <f t="shared" si="22"/>
        <v>21</v>
      </c>
      <c r="L167">
        <f t="shared" si="23"/>
        <v>75</v>
      </c>
      <c r="M167">
        <f t="shared" si="24"/>
        <v>54</v>
      </c>
      <c r="N167">
        <f t="shared" si="25"/>
        <v>33</v>
      </c>
      <c r="P167" t="str">
        <f t="shared" si="26"/>
        <v>.CafNoir-bg{background-color:#4B3621;}</v>
      </c>
    </row>
    <row r="168" spans="2:16" ht="15.75">
      <c r="B168" s="1" t="s">
        <v>529</v>
      </c>
      <c r="C168" t="s">
        <v>530</v>
      </c>
      <c r="D168">
        <v>30.6</v>
      </c>
      <c r="E168">
        <v>76.5</v>
      </c>
      <c r="F168">
        <v>30.6</v>
      </c>
      <c r="G168" t="str">
        <f t="shared" si="18"/>
        <v>CalPolyGreen</v>
      </c>
      <c r="H168" t="str">
        <f t="shared" si="19"/>
        <v>1E4D2B</v>
      </c>
      <c r="I168" t="str">
        <f t="shared" si="20"/>
        <v>1E</v>
      </c>
      <c r="J168" t="str">
        <f t="shared" si="21"/>
        <v>4D</v>
      </c>
      <c r="K168" t="str">
        <f t="shared" si="22"/>
        <v>2B</v>
      </c>
      <c r="L168">
        <f t="shared" si="23"/>
        <v>30</v>
      </c>
      <c r="M168">
        <f t="shared" si="24"/>
        <v>77</v>
      </c>
      <c r="N168">
        <f t="shared" si="25"/>
        <v>43</v>
      </c>
      <c r="P168" t="str">
        <f t="shared" si="26"/>
        <v>.CalPolyGreen-bg{background-color:#1E4D2B;}</v>
      </c>
    </row>
    <row r="169" spans="2:16" ht="15.75">
      <c r="B169" s="1" t="s">
        <v>531</v>
      </c>
      <c r="C169" t="s">
        <v>532</v>
      </c>
      <c r="D169">
        <v>163.19999999999999</v>
      </c>
      <c r="E169">
        <v>193.8</v>
      </c>
      <c r="F169">
        <v>163.19999999999999</v>
      </c>
      <c r="G169" t="str">
        <f t="shared" si="18"/>
        <v>CambridgeBlue</v>
      </c>
      <c r="H169" t="str">
        <f t="shared" si="19"/>
        <v>A3C1AD</v>
      </c>
      <c r="I169" t="str">
        <f t="shared" si="20"/>
        <v>A3</v>
      </c>
      <c r="J169" t="str">
        <f t="shared" si="21"/>
        <v>C1</v>
      </c>
      <c r="K169" t="str">
        <f t="shared" si="22"/>
        <v>AD</v>
      </c>
      <c r="L169">
        <f t="shared" si="23"/>
        <v>163</v>
      </c>
      <c r="M169">
        <f t="shared" si="24"/>
        <v>193</v>
      </c>
      <c r="N169">
        <f t="shared" si="25"/>
        <v>173</v>
      </c>
      <c r="P169" t="str">
        <f t="shared" si="26"/>
        <v>.CambridgeBlue-bg{background-color:#A3C1AD;}</v>
      </c>
    </row>
    <row r="170" spans="2:16" ht="15.75">
      <c r="B170" s="1" t="s">
        <v>533</v>
      </c>
      <c r="C170" t="s">
        <v>534</v>
      </c>
      <c r="D170">
        <v>193.8</v>
      </c>
      <c r="E170">
        <v>153</v>
      </c>
      <c r="F170">
        <v>193.8</v>
      </c>
      <c r="G170" t="str">
        <f t="shared" si="18"/>
        <v>Camel</v>
      </c>
      <c r="H170" t="str">
        <f t="shared" si="19"/>
        <v>C19A6B</v>
      </c>
      <c r="I170" t="str">
        <f t="shared" si="20"/>
        <v>C1</v>
      </c>
      <c r="J170" t="str">
        <f t="shared" si="21"/>
        <v>9A</v>
      </c>
      <c r="K170" t="str">
        <f t="shared" si="22"/>
        <v>6B</v>
      </c>
      <c r="L170">
        <f t="shared" si="23"/>
        <v>193</v>
      </c>
      <c r="M170">
        <f t="shared" si="24"/>
        <v>154</v>
      </c>
      <c r="N170">
        <f t="shared" si="25"/>
        <v>107</v>
      </c>
      <c r="P170" t="str">
        <f t="shared" si="26"/>
        <v>.Camel-bg{background-color:#C19A6B;}</v>
      </c>
    </row>
    <row r="171" spans="2:16" ht="15.75">
      <c r="B171" s="1" t="s">
        <v>535</v>
      </c>
      <c r="C171" t="s">
        <v>536</v>
      </c>
      <c r="D171">
        <v>239.7</v>
      </c>
      <c r="E171">
        <v>186.15</v>
      </c>
      <c r="F171">
        <v>239.7</v>
      </c>
      <c r="G171" t="str">
        <f t="shared" si="18"/>
        <v>CameoPink</v>
      </c>
      <c r="H171" t="str">
        <f t="shared" si="19"/>
        <v>EFBBCC</v>
      </c>
      <c r="I171" t="str">
        <f t="shared" si="20"/>
        <v>EF</v>
      </c>
      <c r="J171" t="str">
        <f t="shared" si="21"/>
        <v>BB</v>
      </c>
      <c r="K171" t="str">
        <f t="shared" si="22"/>
        <v>CC</v>
      </c>
      <c r="L171">
        <f t="shared" si="23"/>
        <v>239</v>
      </c>
      <c r="M171">
        <f t="shared" si="24"/>
        <v>187</v>
      </c>
      <c r="N171">
        <f t="shared" si="25"/>
        <v>204</v>
      </c>
      <c r="P171" t="str">
        <f t="shared" si="26"/>
        <v>.CameoPink-bg{background-color:#EFBBCC;}</v>
      </c>
    </row>
    <row r="172" spans="2:16" ht="15.75">
      <c r="B172" s="1" t="s">
        <v>537</v>
      </c>
      <c r="C172" t="s">
        <v>538</v>
      </c>
      <c r="D172">
        <v>119.85</v>
      </c>
      <c r="E172">
        <v>135.15</v>
      </c>
      <c r="F172">
        <v>119.85</v>
      </c>
      <c r="G172" t="str">
        <f t="shared" si="18"/>
        <v>CamouflageGreen</v>
      </c>
      <c r="H172" t="str">
        <f t="shared" si="19"/>
        <v>78866B</v>
      </c>
      <c r="I172" t="str">
        <f t="shared" si="20"/>
        <v>78</v>
      </c>
      <c r="J172" t="str">
        <f t="shared" si="21"/>
        <v>86</v>
      </c>
      <c r="K172" t="str">
        <f t="shared" si="22"/>
        <v>6B</v>
      </c>
      <c r="L172">
        <f t="shared" si="23"/>
        <v>120</v>
      </c>
      <c r="M172">
        <f t="shared" si="24"/>
        <v>134</v>
      </c>
      <c r="N172">
        <f t="shared" si="25"/>
        <v>107</v>
      </c>
      <c r="P172" t="str">
        <f t="shared" si="26"/>
        <v>.CamouflageGreen-bg{background-color:#78866B;}</v>
      </c>
    </row>
    <row r="173" spans="2:16" ht="15.75">
      <c r="B173" s="1" t="s">
        <v>539</v>
      </c>
      <c r="C173" t="s">
        <v>540</v>
      </c>
      <c r="D173">
        <v>255</v>
      </c>
      <c r="E173">
        <v>239.7</v>
      </c>
      <c r="F173">
        <v>255</v>
      </c>
      <c r="G173" t="str">
        <f t="shared" si="18"/>
        <v>CanaryYellow</v>
      </c>
      <c r="H173" t="str">
        <f t="shared" si="19"/>
        <v>FFEF00</v>
      </c>
      <c r="I173" t="str">
        <f t="shared" si="20"/>
        <v>FF</v>
      </c>
      <c r="J173" t="str">
        <f t="shared" si="21"/>
        <v>EF</v>
      </c>
      <c r="K173" t="str">
        <f t="shared" si="22"/>
        <v>00</v>
      </c>
      <c r="L173">
        <f t="shared" si="23"/>
        <v>255</v>
      </c>
      <c r="M173">
        <f t="shared" si="24"/>
        <v>239</v>
      </c>
      <c r="N173">
        <f t="shared" si="25"/>
        <v>0</v>
      </c>
      <c r="P173" t="str">
        <f t="shared" si="26"/>
        <v>.CanaryYellow-bg{background-color:#FFEF00;}</v>
      </c>
    </row>
    <row r="174" spans="2:16" ht="15.75">
      <c r="B174" s="1" t="s">
        <v>541</v>
      </c>
      <c r="C174" t="s">
        <v>542</v>
      </c>
      <c r="D174">
        <v>255</v>
      </c>
      <c r="E174">
        <v>7.65</v>
      </c>
      <c r="F174">
        <v>255</v>
      </c>
      <c r="G174" t="str">
        <f t="shared" si="18"/>
        <v>CandyAppleRed</v>
      </c>
      <c r="H174" t="str">
        <f t="shared" si="19"/>
        <v>FF0800</v>
      </c>
      <c r="I174" t="str">
        <f t="shared" si="20"/>
        <v>FF</v>
      </c>
      <c r="J174" t="str">
        <f t="shared" si="21"/>
        <v>08</v>
      </c>
      <c r="K174" t="str">
        <f t="shared" si="22"/>
        <v>00</v>
      </c>
      <c r="L174">
        <f t="shared" si="23"/>
        <v>255</v>
      </c>
      <c r="M174">
        <f t="shared" si="24"/>
        <v>8</v>
      </c>
      <c r="N174">
        <f t="shared" si="25"/>
        <v>0</v>
      </c>
      <c r="P174" t="str">
        <f t="shared" si="26"/>
        <v>.CandyAppleRed-bg{background-color:#FF0800;}</v>
      </c>
    </row>
    <row r="175" spans="2:16" ht="15.75">
      <c r="B175" s="1" t="s">
        <v>543</v>
      </c>
      <c r="C175" t="s">
        <v>544</v>
      </c>
      <c r="D175">
        <v>226.95</v>
      </c>
      <c r="E175">
        <v>112.2</v>
      </c>
      <c r="F175">
        <v>226.95</v>
      </c>
      <c r="G175" t="str">
        <f t="shared" si="18"/>
        <v>CandyPink</v>
      </c>
      <c r="H175" t="str">
        <f t="shared" si="19"/>
        <v>E4717A</v>
      </c>
      <c r="I175" t="str">
        <f t="shared" si="20"/>
        <v>E4</v>
      </c>
      <c r="J175" t="str">
        <f t="shared" si="21"/>
        <v>71</v>
      </c>
      <c r="K175" t="str">
        <f t="shared" si="22"/>
        <v>7A</v>
      </c>
      <c r="L175">
        <f t="shared" si="23"/>
        <v>228</v>
      </c>
      <c r="M175">
        <f t="shared" si="24"/>
        <v>113</v>
      </c>
      <c r="N175">
        <f t="shared" si="25"/>
        <v>122</v>
      </c>
      <c r="P175" t="str">
        <f t="shared" si="26"/>
        <v>.CandyPink-bg{background-color:#E4717A;}</v>
      </c>
    </row>
    <row r="176" spans="2:16" ht="15.75">
      <c r="B176" s="1" t="s">
        <v>545</v>
      </c>
      <c r="C176" t="s">
        <v>546</v>
      </c>
      <c r="D176">
        <v>0</v>
      </c>
      <c r="E176">
        <v>191.25</v>
      </c>
      <c r="F176">
        <v>0</v>
      </c>
      <c r="G176" t="str">
        <f t="shared" si="18"/>
        <v>Capri</v>
      </c>
      <c r="H176" t="str">
        <f t="shared" si="19"/>
        <v>00BFFF</v>
      </c>
      <c r="I176" t="str">
        <f t="shared" si="20"/>
        <v>00</v>
      </c>
      <c r="J176" t="str">
        <f t="shared" si="21"/>
        <v>BF</v>
      </c>
      <c r="K176" t="str">
        <f t="shared" si="22"/>
        <v>FF</v>
      </c>
      <c r="L176">
        <f t="shared" si="23"/>
        <v>0</v>
      </c>
      <c r="M176">
        <f t="shared" si="24"/>
        <v>191</v>
      </c>
      <c r="N176">
        <f t="shared" si="25"/>
        <v>255</v>
      </c>
      <c r="P176" t="str">
        <f t="shared" si="26"/>
        <v>.Capri-bg{background-color:#00BFFF;}</v>
      </c>
    </row>
    <row r="177" spans="2:16" ht="15.75">
      <c r="B177" s="1" t="s">
        <v>547</v>
      </c>
      <c r="C177" t="s">
        <v>548</v>
      </c>
      <c r="D177">
        <v>89.25</v>
      </c>
      <c r="E177">
        <v>38.25</v>
      </c>
      <c r="F177">
        <v>89.25</v>
      </c>
      <c r="G177" t="str">
        <f t="shared" si="18"/>
        <v>CaputMortuum</v>
      </c>
      <c r="H177" t="str">
        <f t="shared" si="19"/>
        <v>592720</v>
      </c>
      <c r="I177" t="str">
        <f t="shared" si="20"/>
        <v>59</v>
      </c>
      <c r="J177" t="str">
        <f t="shared" si="21"/>
        <v>27</v>
      </c>
      <c r="K177" t="str">
        <f t="shared" si="22"/>
        <v>20</v>
      </c>
      <c r="L177">
        <f t="shared" si="23"/>
        <v>89</v>
      </c>
      <c r="M177">
        <f t="shared" si="24"/>
        <v>39</v>
      </c>
      <c r="N177">
        <f t="shared" si="25"/>
        <v>32</v>
      </c>
      <c r="P177" t="str">
        <f t="shared" si="26"/>
        <v>.CaputMortuum-bg{background-color:#592720;}</v>
      </c>
    </row>
    <row r="178" spans="2:16" ht="15.75">
      <c r="B178" s="1" t="s">
        <v>549</v>
      </c>
      <c r="C178" t="s">
        <v>550</v>
      </c>
      <c r="D178">
        <v>196.35</v>
      </c>
      <c r="E178">
        <v>30.6</v>
      </c>
      <c r="F178">
        <v>196.35</v>
      </c>
      <c r="G178" t="str">
        <f t="shared" si="18"/>
        <v>Cardinal</v>
      </c>
      <c r="H178" t="str">
        <f t="shared" si="19"/>
        <v>C41E3A</v>
      </c>
      <c r="I178" t="str">
        <f t="shared" si="20"/>
        <v>C4</v>
      </c>
      <c r="J178" t="str">
        <f t="shared" si="21"/>
        <v>1E</v>
      </c>
      <c r="K178" t="str">
        <f t="shared" si="22"/>
        <v>3A</v>
      </c>
      <c r="L178">
        <f t="shared" si="23"/>
        <v>196</v>
      </c>
      <c r="M178">
        <f t="shared" si="24"/>
        <v>30</v>
      </c>
      <c r="N178">
        <f t="shared" si="25"/>
        <v>58</v>
      </c>
      <c r="P178" t="str">
        <f t="shared" si="26"/>
        <v>.Cardinal-bg{background-color:#C41E3A;}</v>
      </c>
    </row>
    <row r="179" spans="2:16" ht="15.75">
      <c r="B179" s="1" t="s">
        <v>551</v>
      </c>
      <c r="C179" t="s">
        <v>552</v>
      </c>
      <c r="D179">
        <v>0</v>
      </c>
      <c r="E179">
        <v>204</v>
      </c>
      <c r="F179">
        <v>0</v>
      </c>
      <c r="G179" t="str">
        <f t="shared" si="18"/>
        <v>CaribbeanGreen</v>
      </c>
      <c r="H179" t="str">
        <f t="shared" si="19"/>
        <v>00CC99</v>
      </c>
      <c r="I179" t="str">
        <f t="shared" si="20"/>
        <v>00</v>
      </c>
      <c r="J179" t="str">
        <f t="shared" si="21"/>
        <v>CC</v>
      </c>
      <c r="K179" t="str">
        <f t="shared" si="22"/>
        <v>99</v>
      </c>
      <c r="L179">
        <f t="shared" si="23"/>
        <v>0</v>
      </c>
      <c r="M179">
        <f t="shared" si="24"/>
        <v>204</v>
      </c>
      <c r="N179">
        <f t="shared" si="25"/>
        <v>153</v>
      </c>
      <c r="P179" t="str">
        <f t="shared" si="26"/>
        <v>.CaribbeanGreen-bg{background-color:#00CC99;}</v>
      </c>
    </row>
    <row r="180" spans="2:16" ht="15.75">
      <c r="B180" s="1" t="s">
        <v>553</v>
      </c>
      <c r="C180" t="s">
        <v>554</v>
      </c>
      <c r="D180">
        <v>150.44999999999999</v>
      </c>
      <c r="E180">
        <v>0</v>
      </c>
      <c r="F180">
        <v>150.44999999999999</v>
      </c>
      <c r="G180" t="str">
        <f t="shared" si="18"/>
        <v>Carmine</v>
      </c>
      <c r="H180" t="str">
        <f t="shared" si="19"/>
        <v>960018</v>
      </c>
      <c r="I180" t="str">
        <f t="shared" si="20"/>
        <v>96</v>
      </c>
      <c r="J180" t="str">
        <f t="shared" si="21"/>
        <v>00</v>
      </c>
      <c r="K180" t="str">
        <f t="shared" si="22"/>
        <v>18</v>
      </c>
      <c r="L180">
        <f t="shared" si="23"/>
        <v>150</v>
      </c>
      <c r="M180">
        <f t="shared" si="24"/>
        <v>0</v>
      </c>
      <c r="N180">
        <f t="shared" si="25"/>
        <v>24</v>
      </c>
      <c r="P180" t="str">
        <f t="shared" si="26"/>
        <v>.Carmine-bg{background-color:#960018;}</v>
      </c>
    </row>
    <row r="181" spans="2:16" ht="15.75">
      <c r="B181" s="1" t="s">
        <v>555</v>
      </c>
      <c r="C181" t="s">
        <v>556</v>
      </c>
      <c r="D181">
        <v>214.2</v>
      </c>
      <c r="E181">
        <v>0</v>
      </c>
      <c r="F181">
        <v>214.2</v>
      </c>
      <c r="G181" t="str">
        <f t="shared" si="18"/>
        <v>CarmineMp</v>
      </c>
      <c r="H181" t="str">
        <f t="shared" si="19"/>
        <v>D70040</v>
      </c>
      <c r="I181" t="str">
        <f t="shared" si="20"/>
        <v>D7</v>
      </c>
      <c r="J181" t="str">
        <f t="shared" si="21"/>
        <v>00</v>
      </c>
      <c r="K181" t="str">
        <f t="shared" si="22"/>
        <v>40</v>
      </c>
      <c r="L181">
        <f t="shared" si="23"/>
        <v>215</v>
      </c>
      <c r="M181">
        <f t="shared" si="24"/>
        <v>0</v>
      </c>
      <c r="N181">
        <f t="shared" si="25"/>
        <v>64</v>
      </c>
      <c r="P181" t="str">
        <f t="shared" si="26"/>
        <v>.CarmineMp-bg{background-color:#D70040;}</v>
      </c>
    </row>
    <row r="182" spans="2:16" ht="15.75">
      <c r="B182" s="1" t="s">
        <v>557</v>
      </c>
      <c r="C182" t="s">
        <v>558</v>
      </c>
      <c r="D182">
        <v>234.6</v>
      </c>
      <c r="E182">
        <v>76.5</v>
      </c>
      <c r="F182">
        <v>234.6</v>
      </c>
      <c r="G182" t="str">
        <f t="shared" si="18"/>
        <v>CarminePink</v>
      </c>
      <c r="H182" t="str">
        <f t="shared" si="19"/>
        <v>EB4C42</v>
      </c>
      <c r="I182" t="str">
        <f t="shared" si="20"/>
        <v>EB</v>
      </c>
      <c r="J182" t="str">
        <f t="shared" si="21"/>
        <v>4C</v>
      </c>
      <c r="K182" t="str">
        <f t="shared" si="22"/>
        <v>42</v>
      </c>
      <c r="L182">
        <f t="shared" si="23"/>
        <v>235</v>
      </c>
      <c r="M182">
        <f t="shared" si="24"/>
        <v>76</v>
      </c>
      <c r="N182">
        <f t="shared" si="25"/>
        <v>66</v>
      </c>
      <c r="P182" t="str">
        <f t="shared" si="26"/>
        <v>.CarminePink-bg{background-color:#EB4C42;}</v>
      </c>
    </row>
    <row r="183" spans="2:16" ht="15.75">
      <c r="B183" s="1" t="s">
        <v>559</v>
      </c>
      <c r="C183" t="s">
        <v>560</v>
      </c>
      <c r="D183">
        <v>255</v>
      </c>
      <c r="E183">
        <v>0</v>
      </c>
      <c r="F183">
        <v>255</v>
      </c>
      <c r="G183" t="str">
        <f t="shared" si="18"/>
        <v>CarmineRed</v>
      </c>
      <c r="H183" t="str">
        <f t="shared" si="19"/>
        <v>FF0038</v>
      </c>
      <c r="I183" t="str">
        <f t="shared" si="20"/>
        <v>FF</v>
      </c>
      <c r="J183" t="str">
        <f t="shared" si="21"/>
        <v>00</v>
      </c>
      <c r="K183" t="str">
        <f t="shared" si="22"/>
        <v>38</v>
      </c>
      <c r="L183">
        <f t="shared" si="23"/>
        <v>255</v>
      </c>
      <c r="M183">
        <f t="shared" si="24"/>
        <v>0</v>
      </c>
      <c r="N183">
        <f t="shared" si="25"/>
        <v>56</v>
      </c>
      <c r="P183" t="str">
        <f t="shared" si="26"/>
        <v>.CarmineRed-bg{background-color:#FF0038;}</v>
      </c>
    </row>
    <row r="184" spans="2:16" ht="15.75">
      <c r="B184" s="1" t="s">
        <v>561</v>
      </c>
      <c r="C184" t="s">
        <v>562</v>
      </c>
      <c r="D184">
        <v>255</v>
      </c>
      <c r="E184">
        <v>165.75</v>
      </c>
      <c r="F184">
        <v>255</v>
      </c>
      <c r="G184" t="str">
        <f t="shared" si="18"/>
        <v>CarnationPink</v>
      </c>
      <c r="H184" t="str">
        <f t="shared" si="19"/>
        <v>FFA6C9</v>
      </c>
      <c r="I184" t="str">
        <f t="shared" si="20"/>
        <v>FF</v>
      </c>
      <c r="J184" t="str">
        <f t="shared" si="21"/>
        <v>A6</v>
      </c>
      <c r="K184" t="str">
        <f t="shared" si="22"/>
        <v>C9</v>
      </c>
      <c r="L184">
        <f t="shared" si="23"/>
        <v>255</v>
      </c>
      <c r="M184">
        <f t="shared" si="24"/>
        <v>166</v>
      </c>
      <c r="N184">
        <f t="shared" si="25"/>
        <v>201</v>
      </c>
      <c r="P184" t="str">
        <f t="shared" si="26"/>
        <v>.CarnationPink-bg{background-color:#FFA6C9;}</v>
      </c>
    </row>
    <row r="185" spans="2:16" ht="15.75">
      <c r="B185" s="1" t="s">
        <v>563</v>
      </c>
      <c r="C185" t="s">
        <v>564</v>
      </c>
      <c r="D185">
        <v>178.5</v>
      </c>
      <c r="E185">
        <v>28.05</v>
      </c>
      <c r="F185">
        <v>178.5</v>
      </c>
      <c r="G185" t="str">
        <f t="shared" si="18"/>
        <v>Carnelian</v>
      </c>
      <c r="H185" t="str">
        <f t="shared" si="19"/>
        <v>B31B1B</v>
      </c>
      <c r="I185" t="str">
        <f t="shared" si="20"/>
        <v>B3</v>
      </c>
      <c r="J185" t="str">
        <f t="shared" si="21"/>
        <v>1B</v>
      </c>
      <c r="K185" t="str">
        <f t="shared" si="22"/>
        <v>1B</v>
      </c>
      <c r="L185">
        <f t="shared" si="23"/>
        <v>179</v>
      </c>
      <c r="M185">
        <f t="shared" si="24"/>
        <v>27</v>
      </c>
      <c r="N185">
        <f t="shared" si="25"/>
        <v>27</v>
      </c>
      <c r="P185" t="str">
        <f t="shared" si="26"/>
        <v>.Carnelian-bg{background-color:#B31B1B;}</v>
      </c>
    </row>
    <row r="186" spans="2:16" ht="15.75">
      <c r="B186" s="1" t="s">
        <v>565</v>
      </c>
      <c r="C186" t="s">
        <v>566</v>
      </c>
      <c r="D186">
        <v>86.7</v>
      </c>
      <c r="E186">
        <v>160.65</v>
      </c>
      <c r="F186">
        <v>86.7</v>
      </c>
      <c r="G186" t="str">
        <f t="shared" si="18"/>
        <v>CarolinaBlue</v>
      </c>
      <c r="H186" t="str">
        <f t="shared" si="19"/>
        <v>56A0D3</v>
      </c>
      <c r="I186" t="str">
        <f t="shared" si="20"/>
        <v>56</v>
      </c>
      <c r="J186" t="str">
        <f t="shared" si="21"/>
        <v>A0</v>
      </c>
      <c r="K186" t="str">
        <f t="shared" si="22"/>
        <v>D3</v>
      </c>
      <c r="L186">
        <f t="shared" si="23"/>
        <v>86</v>
      </c>
      <c r="M186">
        <f t="shared" si="24"/>
        <v>160</v>
      </c>
      <c r="N186">
        <f t="shared" si="25"/>
        <v>211</v>
      </c>
      <c r="P186" t="str">
        <f t="shared" si="26"/>
        <v>.CarolinaBlue-bg{background-color:#56A0D3;}</v>
      </c>
    </row>
    <row r="187" spans="2:16" ht="15.75">
      <c r="B187" s="1" t="s">
        <v>567</v>
      </c>
      <c r="C187" t="s">
        <v>568</v>
      </c>
      <c r="D187">
        <v>237.15</v>
      </c>
      <c r="E187">
        <v>145.35</v>
      </c>
      <c r="F187">
        <v>237.15</v>
      </c>
      <c r="G187" t="str">
        <f t="shared" si="18"/>
        <v>CarrotOrange</v>
      </c>
      <c r="H187" t="str">
        <f t="shared" si="19"/>
        <v>ED9121</v>
      </c>
      <c r="I187" t="str">
        <f t="shared" si="20"/>
        <v>ED</v>
      </c>
      <c r="J187" t="str">
        <f t="shared" si="21"/>
        <v>91</v>
      </c>
      <c r="K187" t="str">
        <f t="shared" si="22"/>
        <v>21</v>
      </c>
      <c r="L187">
        <f t="shared" si="23"/>
        <v>237</v>
      </c>
      <c r="M187">
        <f t="shared" si="24"/>
        <v>145</v>
      </c>
      <c r="N187">
        <f t="shared" si="25"/>
        <v>33</v>
      </c>
      <c r="P187" t="str">
        <f t="shared" si="26"/>
        <v>.CarrotOrange-bg{background-color:#ED9121;}</v>
      </c>
    </row>
    <row r="188" spans="2:16" ht="15.75">
      <c r="B188" s="1" t="s">
        <v>569</v>
      </c>
      <c r="C188" t="s">
        <v>570</v>
      </c>
      <c r="D188">
        <v>0</v>
      </c>
      <c r="E188">
        <v>86.7</v>
      </c>
      <c r="F188">
        <v>0</v>
      </c>
      <c r="G188" t="str">
        <f t="shared" si="18"/>
        <v>CastletonGreen</v>
      </c>
      <c r="H188" t="str">
        <f t="shared" si="19"/>
        <v>00563F</v>
      </c>
      <c r="I188" t="str">
        <f t="shared" si="20"/>
        <v>00</v>
      </c>
      <c r="J188" t="str">
        <f t="shared" si="21"/>
        <v>56</v>
      </c>
      <c r="K188" t="str">
        <f t="shared" si="22"/>
        <v>3F</v>
      </c>
      <c r="L188">
        <f t="shared" si="23"/>
        <v>0</v>
      </c>
      <c r="M188">
        <f t="shared" si="24"/>
        <v>86</v>
      </c>
      <c r="N188">
        <f t="shared" si="25"/>
        <v>63</v>
      </c>
      <c r="P188" t="str">
        <f t="shared" si="26"/>
        <v>.CastletonGreen-bg{background-color:#00563F;}</v>
      </c>
    </row>
    <row r="189" spans="2:16" ht="15.75">
      <c r="B189" s="1" t="s">
        <v>571</v>
      </c>
      <c r="C189" t="s">
        <v>572</v>
      </c>
      <c r="D189">
        <v>5.0999999999999996</v>
      </c>
      <c r="E189">
        <v>40.799999999999997</v>
      </c>
      <c r="F189">
        <v>5.0999999999999996</v>
      </c>
      <c r="G189" t="str">
        <f t="shared" si="18"/>
        <v>CatalinaBlue</v>
      </c>
      <c r="H189" t="str">
        <f t="shared" si="19"/>
        <v>062A78</v>
      </c>
      <c r="I189" t="str">
        <f t="shared" si="20"/>
        <v>06</v>
      </c>
      <c r="J189" t="str">
        <f t="shared" si="21"/>
        <v>2A</v>
      </c>
      <c r="K189" t="str">
        <f t="shared" si="22"/>
        <v>78</v>
      </c>
      <c r="L189">
        <f t="shared" si="23"/>
        <v>6</v>
      </c>
      <c r="M189">
        <f t="shared" si="24"/>
        <v>42</v>
      </c>
      <c r="N189">
        <f t="shared" si="25"/>
        <v>120</v>
      </c>
      <c r="P189" t="str">
        <f t="shared" si="26"/>
        <v>.CatalinaBlue-bg{background-color:#062A78;}</v>
      </c>
    </row>
    <row r="190" spans="2:16" ht="15.75">
      <c r="B190" s="1" t="s">
        <v>573</v>
      </c>
      <c r="C190" t="s">
        <v>574</v>
      </c>
      <c r="D190">
        <v>112.2</v>
      </c>
      <c r="E190">
        <v>53.55</v>
      </c>
      <c r="F190">
        <v>112.2</v>
      </c>
      <c r="G190" t="str">
        <f t="shared" si="18"/>
        <v>Catawba</v>
      </c>
      <c r="H190" t="str">
        <f t="shared" si="19"/>
        <v>703642</v>
      </c>
      <c r="I190" t="str">
        <f t="shared" si="20"/>
        <v>70</v>
      </c>
      <c r="J190" t="str">
        <f t="shared" si="21"/>
        <v>36</v>
      </c>
      <c r="K190" t="str">
        <f t="shared" si="22"/>
        <v>42</v>
      </c>
      <c r="L190">
        <f t="shared" si="23"/>
        <v>112</v>
      </c>
      <c r="M190">
        <f t="shared" si="24"/>
        <v>54</v>
      </c>
      <c r="N190">
        <f t="shared" si="25"/>
        <v>66</v>
      </c>
      <c r="P190" t="str">
        <f t="shared" si="26"/>
        <v>.Catawba-bg{background-color:#703642;}</v>
      </c>
    </row>
    <row r="191" spans="2:16" ht="15.75">
      <c r="B191" s="1" t="s">
        <v>575</v>
      </c>
      <c r="C191" t="s">
        <v>576</v>
      </c>
      <c r="D191">
        <v>201.45</v>
      </c>
      <c r="E191">
        <v>89.25</v>
      </c>
      <c r="F191">
        <v>201.45</v>
      </c>
      <c r="G191" t="str">
        <f t="shared" si="18"/>
        <v>CedarChest</v>
      </c>
      <c r="H191" t="str">
        <f t="shared" si="19"/>
        <v>C95A49</v>
      </c>
      <c r="I191" t="str">
        <f t="shared" si="20"/>
        <v>C9</v>
      </c>
      <c r="J191" t="str">
        <f t="shared" si="21"/>
        <v>5A</v>
      </c>
      <c r="K191" t="str">
        <f t="shared" si="22"/>
        <v>49</v>
      </c>
      <c r="L191">
        <f t="shared" si="23"/>
        <v>201</v>
      </c>
      <c r="M191">
        <f t="shared" si="24"/>
        <v>90</v>
      </c>
      <c r="N191">
        <f t="shared" si="25"/>
        <v>73</v>
      </c>
      <c r="P191" t="str">
        <f t="shared" si="26"/>
        <v>.CedarChest-bg{background-color:#C95A49;}</v>
      </c>
    </row>
    <row r="192" spans="2:16" ht="15.75">
      <c r="B192" s="1" t="s">
        <v>577</v>
      </c>
      <c r="C192" t="s">
        <v>578</v>
      </c>
      <c r="D192">
        <v>145.35</v>
      </c>
      <c r="E192">
        <v>160.65</v>
      </c>
      <c r="F192">
        <v>145.35</v>
      </c>
      <c r="G192" t="str">
        <f t="shared" si="18"/>
        <v>Ceil</v>
      </c>
      <c r="H192" t="str">
        <f t="shared" si="19"/>
        <v>92A1CF</v>
      </c>
      <c r="I192" t="str">
        <f t="shared" si="20"/>
        <v>92</v>
      </c>
      <c r="J192" t="str">
        <f t="shared" si="21"/>
        <v>A1</v>
      </c>
      <c r="K192" t="str">
        <f t="shared" si="22"/>
        <v>CF</v>
      </c>
      <c r="L192">
        <f t="shared" si="23"/>
        <v>146</v>
      </c>
      <c r="M192">
        <f t="shared" si="24"/>
        <v>161</v>
      </c>
      <c r="N192">
        <f t="shared" si="25"/>
        <v>207</v>
      </c>
      <c r="P192" t="str">
        <f t="shared" si="26"/>
        <v>.Ceil-bg{background-color:#92A1CF;}</v>
      </c>
    </row>
    <row r="193" spans="2:16" ht="15.75">
      <c r="B193" s="1" t="s">
        <v>579</v>
      </c>
      <c r="C193" t="s">
        <v>580</v>
      </c>
      <c r="D193">
        <v>170.85</v>
      </c>
      <c r="E193">
        <v>224.4</v>
      </c>
      <c r="F193">
        <v>170.85</v>
      </c>
      <c r="G193" t="str">
        <f t="shared" si="18"/>
        <v>Celadon</v>
      </c>
      <c r="H193" t="str">
        <f t="shared" si="19"/>
        <v>ACE1AF</v>
      </c>
      <c r="I193" t="str">
        <f t="shared" si="20"/>
        <v>AC</v>
      </c>
      <c r="J193" t="str">
        <f t="shared" si="21"/>
        <v>E1</v>
      </c>
      <c r="K193" t="str">
        <f t="shared" si="22"/>
        <v>AF</v>
      </c>
      <c r="L193">
        <f t="shared" si="23"/>
        <v>172</v>
      </c>
      <c r="M193">
        <f t="shared" si="24"/>
        <v>225</v>
      </c>
      <c r="N193">
        <f t="shared" si="25"/>
        <v>175</v>
      </c>
      <c r="P193" t="str">
        <f t="shared" si="26"/>
        <v>.Celadon-bg{background-color:#ACE1AF;}</v>
      </c>
    </row>
    <row r="194" spans="2:16" ht="15.75">
      <c r="B194" s="1" t="s">
        <v>581</v>
      </c>
      <c r="C194" t="s">
        <v>582</v>
      </c>
      <c r="D194">
        <v>0</v>
      </c>
      <c r="E194">
        <v>122.4</v>
      </c>
      <c r="F194">
        <v>0</v>
      </c>
      <c r="G194" t="str">
        <f t="shared" si="18"/>
        <v>CeladonBlue</v>
      </c>
      <c r="H194" t="str">
        <f t="shared" si="19"/>
        <v>007BA7</v>
      </c>
      <c r="I194" t="str">
        <f t="shared" si="20"/>
        <v>00</v>
      </c>
      <c r="J194" t="str">
        <f t="shared" si="21"/>
        <v>7B</v>
      </c>
      <c r="K194" t="str">
        <f t="shared" si="22"/>
        <v>A7</v>
      </c>
      <c r="L194">
        <f t="shared" si="23"/>
        <v>0</v>
      </c>
      <c r="M194">
        <f t="shared" si="24"/>
        <v>123</v>
      </c>
      <c r="N194">
        <f t="shared" si="25"/>
        <v>167</v>
      </c>
      <c r="P194" t="str">
        <f t="shared" si="26"/>
        <v>.CeladonBlue-bg{background-color:#007BA7;}</v>
      </c>
    </row>
    <row r="195" spans="2:16" ht="15.75">
      <c r="B195" s="1" t="s">
        <v>583</v>
      </c>
      <c r="C195" t="s">
        <v>584</v>
      </c>
      <c r="D195">
        <v>45.9</v>
      </c>
      <c r="E195">
        <v>132.6</v>
      </c>
      <c r="F195">
        <v>45.9</v>
      </c>
      <c r="G195" t="str">
        <f t="shared" si="18"/>
        <v>CeladonGreen</v>
      </c>
      <c r="H195" t="str">
        <f t="shared" si="19"/>
        <v>2F847C</v>
      </c>
      <c r="I195" t="str">
        <f t="shared" si="20"/>
        <v>2F</v>
      </c>
      <c r="J195" t="str">
        <f t="shared" si="21"/>
        <v>84</v>
      </c>
      <c r="K195" t="str">
        <f t="shared" si="22"/>
        <v>7C</v>
      </c>
      <c r="L195">
        <f t="shared" si="23"/>
        <v>47</v>
      </c>
      <c r="M195">
        <f t="shared" si="24"/>
        <v>132</v>
      </c>
      <c r="N195">
        <f t="shared" si="25"/>
        <v>124</v>
      </c>
      <c r="P195" t="str">
        <f t="shared" si="26"/>
        <v>.CeladonGreen-bg{background-color:#2F847C;}</v>
      </c>
    </row>
    <row r="196" spans="2:16" ht="15.75">
      <c r="B196" s="1" t="s">
        <v>585</v>
      </c>
      <c r="C196" t="s">
        <v>586</v>
      </c>
      <c r="D196">
        <v>178.5</v>
      </c>
      <c r="E196">
        <v>255</v>
      </c>
      <c r="F196">
        <v>178.5</v>
      </c>
      <c r="G196" t="str">
        <f t="shared" ref="G196:G259" si="27">SUBSTITUTE(PROPER(AlphaNumericOnly(B196))," ","")</f>
        <v>Celeste</v>
      </c>
      <c r="H196" t="str">
        <f t="shared" ref="H196:H259" si="28">RIGHT(C196,6)</f>
        <v>B2FFFF</v>
      </c>
      <c r="I196" t="str">
        <f t="shared" ref="I196:I259" si="29">MID($H196,1,2)</f>
        <v>B2</v>
      </c>
      <c r="J196" t="str">
        <f t="shared" ref="J196:J259" si="30">MID($H196,3,2)</f>
        <v>FF</v>
      </c>
      <c r="K196" t="str">
        <f t="shared" ref="K196:K259" si="31">MID($H196,5,2)</f>
        <v>FF</v>
      </c>
      <c r="L196">
        <f t="shared" ref="L196:L259" si="32">HEX2DEC(I196)</f>
        <v>178</v>
      </c>
      <c r="M196">
        <f t="shared" ref="M196:M259" si="33">HEX2DEC(J196)</f>
        <v>255</v>
      </c>
      <c r="N196">
        <f t="shared" ref="N196:N259" si="34">HEX2DEC(K196)</f>
        <v>255</v>
      </c>
      <c r="P196" t="str">
        <f t="shared" ref="P196:P259" si="35">"."&amp;G196&amp;$P$1&amp;"{"&amp;$P$2&amp;":#"&amp;H196&amp;";}"</f>
        <v>.Celeste-bg{background-color:#B2FFFF;}</v>
      </c>
    </row>
    <row r="197" spans="2:16" ht="15.75">
      <c r="B197" s="1" t="s">
        <v>587</v>
      </c>
      <c r="C197" t="s">
        <v>588</v>
      </c>
      <c r="D197">
        <v>73.95</v>
      </c>
      <c r="E197">
        <v>150.44999999999999</v>
      </c>
      <c r="F197">
        <v>73.95</v>
      </c>
      <c r="G197" t="str">
        <f t="shared" si="27"/>
        <v>CelestialBlue</v>
      </c>
      <c r="H197" t="str">
        <f t="shared" si="28"/>
        <v>4997D0</v>
      </c>
      <c r="I197" t="str">
        <f t="shared" si="29"/>
        <v>49</v>
      </c>
      <c r="J197" t="str">
        <f t="shared" si="30"/>
        <v>97</v>
      </c>
      <c r="K197" t="str">
        <f t="shared" si="31"/>
        <v>D0</v>
      </c>
      <c r="L197">
        <f t="shared" si="32"/>
        <v>73</v>
      </c>
      <c r="M197">
        <f t="shared" si="33"/>
        <v>151</v>
      </c>
      <c r="N197">
        <f t="shared" si="34"/>
        <v>208</v>
      </c>
      <c r="P197" t="str">
        <f t="shared" si="35"/>
        <v>.CelestialBlue-bg{background-color:#4997D0;}</v>
      </c>
    </row>
    <row r="198" spans="2:16" ht="15.75">
      <c r="B198" s="1" t="s">
        <v>589</v>
      </c>
      <c r="C198" t="s">
        <v>590</v>
      </c>
      <c r="D198">
        <v>221.85</v>
      </c>
      <c r="E198">
        <v>48.45</v>
      </c>
      <c r="F198">
        <v>221.85</v>
      </c>
      <c r="G198" t="str">
        <f t="shared" si="27"/>
        <v>Cerise</v>
      </c>
      <c r="H198" t="str">
        <f t="shared" si="28"/>
        <v>DE3163</v>
      </c>
      <c r="I198" t="str">
        <f t="shared" si="29"/>
        <v>DE</v>
      </c>
      <c r="J198" t="str">
        <f t="shared" si="30"/>
        <v>31</v>
      </c>
      <c r="K198" t="str">
        <f t="shared" si="31"/>
        <v>63</v>
      </c>
      <c r="L198">
        <f t="shared" si="32"/>
        <v>222</v>
      </c>
      <c r="M198">
        <f t="shared" si="33"/>
        <v>49</v>
      </c>
      <c r="N198">
        <f t="shared" si="34"/>
        <v>99</v>
      </c>
      <c r="P198" t="str">
        <f t="shared" si="35"/>
        <v>.Cerise-bg{background-color:#DE3163;}</v>
      </c>
    </row>
    <row r="199" spans="2:16" ht="15.75">
      <c r="B199" s="1" t="s">
        <v>591</v>
      </c>
      <c r="C199" t="s">
        <v>592</v>
      </c>
      <c r="D199">
        <v>237.15</v>
      </c>
      <c r="E199">
        <v>58.65</v>
      </c>
      <c r="F199">
        <v>237.15</v>
      </c>
      <c r="G199" t="str">
        <f t="shared" si="27"/>
        <v>CerisePink</v>
      </c>
      <c r="H199" t="str">
        <f t="shared" si="28"/>
        <v>EC3B83</v>
      </c>
      <c r="I199" t="str">
        <f t="shared" si="29"/>
        <v>EC</v>
      </c>
      <c r="J199" t="str">
        <f t="shared" si="30"/>
        <v>3B</v>
      </c>
      <c r="K199" t="str">
        <f t="shared" si="31"/>
        <v>83</v>
      </c>
      <c r="L199">
        <f t="shared" si="32"/>
        <v>236</v>
      </c>
      <c r="M199">
        <f t="shared" si="33"/>
        <v>59</v>
      </c>
      <c r="N199">
        <f t="shared" si="34"/>
        <v>131</v>
      </c>
      <c r="P199" t="str">
        <f t="shared" si="35"/>
        <v>.CerisePink-bg{background-color:#EC3B83;}</v>
      </c>
    </row>
    <row r="200" spans="2:16" ht="15.75">
      <c r="B200" s="1" t="s">
        <v>593</v>
      </c>
      <c r="C200" t="s">
        <v>582</v>
      </c>
      <c r="D200">
        <v>0</v>
      </c>
      <c r="E200">
        <v>122.4</v>
      </c>
      <c r="F200">
        <v>0</v>
      </c>
      <c r="G200" t="str">
        <f t="shared" si="27"/>
        <v>Cerulean</v>
      </c>
      <c r="H200" t="str">
        <f t="shared" si="28"/>
        <v>007BA7</v>
      </c>
      <c r="I200" t="str">
        <f t="shared" si="29"/>
        <v>00</v>
      </c>
      <c r="J200" t="str">
        <f t="shared" si="30"/>
        <v>7B</v>
      </c>
      <c r="K200" t="str">
        <f t="shared" si="31"/>
        <v>A7</v>
      </c>
      <c r="L200">
        <f t="shared" si="32"/>
        <v>0</v>
      </c>
      <c r="M200">
        <f t="shared" si="33"/>
        <v>123</v>
      </c>
      <c r="N200">
        <f t="shared" si="34"/>
        <v>167</v>
      </c>
      <c r="P200" t="str">
        <f t="shared" si="35"/>
        <v>.Cerulean-bg{background-color:#007BA7;}</v>
      </c>
    </row>
    <row r="201" spans="2:16" ht="15.75">
      <c r="B201" s="1" t="s">
        <v>594</v>
      </c>
      <c r="C201" t="s">
        <v>595</v>
      </c>
      <c r="D201">
        <v>40.799999999999997</v>
      </c>
      <c r="E201">
        <v>81.599999999999994</v>
      </c>
      <c r="F201">
        <v>40.799999999999997</v>
      </c>
      <c r="G201" t="str">
        <f t="shared" si="27"/>
        <v>CeruleanBlue</v>
      </c>
      <c r="H201" t="str">
        <f t="shared" si="28"/>
        <v>2A52BE</v>
      </c>
      <c r="I201" t="str">
        <f t="shared" si="29"/>
        <v>2A</v>
      </c>
      <c r="J201" t="str">
        <f t="shared" si="30"/>
        <v>52</v>
      </c>
      <c r="K201" t="str">
        <f t="shared" si="31"/>
        <v>BE</v>
      </c>
      <c r="L201">
        <f t="shared" si="32"/>
        <v>42</v>
      </c>
      <c r="M201">
        <f t="shared" si="33"/>
        <v>82</v>
      </c>
      <c r="N201">
        <f t="shared" si="34"/>
        <v>190</v>
      </c>
      <c r="P201" t="str">
        <f t="shared" si="35"/>
        <v>.CeruleanBlue-bg{background-color:#2A52BE;}</v>
      </c>
    </row>
    <row r="202" spans="2:16" ht="15.75">
      <c r="B202" s="1" t="s">
        <v>596</v>
      </c>
      <c r="C202" t="s">
        <v>597</v>
      </c>
      <c r="D202">
        <v>109.65</v>
      </c>
      <c r="E202">
        <v>155.55000000000001</v>
      </c>
      <c r="F202">
        <v>109.65</v>
      </c>
      <c r="G202" t="str">
        <f t="shared" si="27"/>
        <v>CeruleanFrost</v>
      </c>
      <c r="H202" t="str">
        <f t="shared" si="28"/>
        <v>6D9BC3</v>
      </c>
      <c r="I202" t="str">
        <f t="shared" si="29"/>
        <v>6D</v>
      </c>
      <c r="J202" t="str">
        <f t="shared" si="30"/>
        <v>9B</v>
      </c>
      <c r="K202" t="str">
        <f t="shared" si="31"/>
        <v>C3</v>
      </c>
      <c r="L202">
        <f t="shared" si="32"/>
        <v>109</v>
      </c>
      <c r="M202">
        <f t="shared" si="33"/>
        <v>155</v>
      </c>
      <c r="N202">
        <f t="shared" si="34"/>
        <v>195</v>
      </c>
      <c r="P202" t="str">
        <f t="shared" si="35"/>
        <v>.CeruleanFrost-bg{background-color:#6D9BC3;}</v>
      </c>
    </row>
    <row r="203" spans="2:16" ht="15.75">
      <c r="B203" s="1" t="s">
        <v>598</v>
      </c>
      <c r="C203" t="s">
        <v>599</v>
      </c>
      <c r="D203">
        <v>0</v>
      </c>
      <c r="E203">
        <v>122.4</v>
      </c>
      <c r="F203">
        <v>0</v>
      </c>
      <c r="G203" t="str">
        <f t="shared" si="27"/>
        <v>CgBlue</v>
      </c>
      <c r="H203" t="str">
        <f t="shared" si="28"/>
        <v>007AA5</v>
      </c>
      <c r="I203" t="str">
        <f t="shared" si="29"/>
        <v>00</v>
      </c>
      <c r="J203" t="str">
        <f t="shared" si="30"/>
        <v>7A</v>
      </c>
      <c r="K203" t="str">
        <f t="shared" si="31"/>
        <v>A5</v>
      </c>
      <c r="L203">
        <f t="shared" si="32"/>
        <v>0</v>
      </c>
      <c r="M203">
        <f t="shared" si="33"/>
        <v>122</v>
      </c>
      <c r="N203">
        <f t="shared" si="34"/>
        <v>165</v>
      </c>
      <c r="P203" t="str">
        <f t="shared" si="35"/>
        <v>.CgBlue-bg{background-color:#007AA5;}</v>
      </c>
    </row>
    <row r="204" spans="2:16" ht="15.75">
      <c r="B204" s="1" t="s">
        <v>600</v>
      </c>
      <c r="C204" t="s">
        <v>601</v>
      </c>
      <c r="D204">
        <v>224.4</v>
      </c>
      <c r="E204">
        <v>61.2</v>
      </c>
      <c r="F204">
        <v>224.4</v>
      </c>
      <c r="G204" t="str">
        <f t="shared" si="27"/>
        <v>CgRed</v>
      </c>
      <c r="H204" t="str">
        <f t="shared" si="28"/>
        <v>E03C31</v>
      </c>
      <c r="I204" t="str">
        <f t="shared" si="29"/>
        <v>E0</v>
      </c>
      <c r="J204" t="str">
        <f t="shared" si="30"/>
        <v>3C</v>
      </c>
      <c r="K204" t="str">
        <f t="shared" si="31"/>
        <v>31</v>
      </c>
      <c r="L204">
        <f t="shared" si="32"/>
        <v>224</v>
      </c>
      <c r="M204">
        <f t="shared" si="33"/>
        <v>60</v>
      </c>
      <c r="N204">
        <f t="shared" si="34"/>
        <v>49</v>
      </c>
      <c r="P204" t="str">
        <f t="shared" si="35"/>
        <v>.CgRed-bg{background-color:#E03C31;}</v>
      </c>
    </row>
    <row r="205" spans="2:16" ht="15.75">
      <c r="B205" s="1" t="s">
        <v>602</v>
      </c>
      <c r="C205" t="s">
        <v>603</v>
      </c>
      <c r="D205">
        <v>160.65</v>
      </c>
      <c r="E205">
        <v>119.85</v>
      </c>
      <c r="F205">
        <v>160.65</v>
      </c>
      <c r="G205" t="str">
        <f t="shared" si="27"/>
        <v>Chamoisee</v>
      </c>
      <c r="H205" t="str">
        <f t="shared" si="28"/>
        <v>A0785A</v>
      </c>
      <c r="I205" t="str">
        <f t="shared" si="29"/>
        <v>A0</v>
      </c>
      <c r="J205" t="str">
        <f t="shared" si="30"/>
        <v>78</v>
      </c>
      <c r="K205" t="str">
        <f t="shared" si="31"/>
        <v>5A</v>
      </c>
      <c r="L205">
        <f t="shared" si="32"/>
        <v>160</v>
      </c>
      <c r="M205">
        <f t="shared" si="33"/>
        <v>120</v>
      </c>
      <c r="N205">
        <f t="shared" si="34"/>
        <v>90</v>
      </c>
      <c r="P205" t="str">
        <f t="shared" si="35"/>
        <v>.Chamoisee-bg{background-color:#A0785A;}</v>
      </c>
    </row>
    <row r="206" spans="2:16" ht="15.75">
      <c r="B206" s="1" t="s">
        <v>604</v>
      </c>
      <c r="C206" t="s">
        <v>605</v>
      </c>
      <c r="D206">
        <v>247.35</v>
      </c>
      <c r="E206">
        <v>232.05</v>
      </c>
      <c r="F206">
        <v>247.35</v>
      </c>
      <c r="G206" t="str">
        <f t="shared" si="27"/>
        <v>Champagne</v>
      </c>
      <c r="H206" t="str">
        <f t="shared" si="28"/>
        <v>F7E7CE</v>
      </c>
      <c r="I206" t="str">
        <f t="shared" si="29"/>
        <v>F7</v>
      </c>
      <c r="J206" t="str">
        <f t="shared" si="30"/>
        <v>E7</v>
      </c>
      <c r="K206" t="str">
        <f t="shared" si="31"/>
        <v>CE</v>
      </c>
      <c r="L206">
        <f t="shared" si="32"/>
        <v>247</v>
      </c>
      <c r="M206">
        <f t="shared" si="33"/>
        <v>231</v>
      </c>
      <c r="N206">
        <f t="shared" si="34"/>
        <v>206</v>
      </c>
      <c r="P206" t="str">
        <f t="shared" si="35"/>
        <v>.Champagne-bg{background-color:#F7E7CE;}</v>
      </c>
    </row>
    <row r="207" spans="2:16" ht="15.75">
      <c r="B207" s="1" t="s">
        <v>606</v>
      </c>
      <c r="C207" t="s">
        <v>607</v>
      </c>
      <c r="D207">
        <v>53.55</v>
      </c>
      <c r="E207">
        <v>68.849999999999994</v>
      </c>
      <c r="F207">
        <v>53.55</v>
      </c>
      <c r="G207" t="str">
        <f t="shared" si="27"/>
        <v>Charcoal</v>
      </c>
      <c r="H207" t="str">
        <f t="shared" si="28"/>
        <v>36454F</v>
      </c>
      <c r="I207" t="str">
        <f t="shared" si="29"/>
        <v>36</v>
      </c>
      <c r="J207" t="str">
        <f t="shared" si="30"/>
        <v>45</v>
      </c>
      <c r="K207" t="str">
        <f t="shared" si="31"/>
        <v>4F</v>
      </c>
      <c r="L207">
        <f t="shared" si="32"/>
        <v>54</v>
      </c>
      <c r="M207">
        <f t="shared" si="33"/>
        <v>69</v>
      </c>
      <c r="N207">
        <f t="shared" si="34"/>
        <v>79</v>
      </c>
      <c r="P207" t="str">
        <f t="shared" si="35"/>
        <v>.Charcoal-bg{background-color:#36454F;}</v>
      </c>
    </row>
    <row r="208" spans="2:16" ht="15.75">
      <c r="B208" s="1" t="s">
        <v>608</v>
      </c>
      <c r="C208" t="s">
        <v>609</v>
      </c>
      <c r="D208">
        <v>35.700000000000003</v>
      </c>
      <c r="E208">
        <v>43.35</v>
      </c>
      <c r="F208">
        <v>35.700000000000003</v>
      </c>
      <c r="G208" t="str">
        <f t="shared" si="27"/>
        <v>CharlestonGreen</v>
      </c>
      <c r="H208" t="str">
        <f t="shared" si="28"/>
        <v>232B2B</v>
      </c>
      <c r="I208" t="str">
        <f t="shared" si="29"/>
        <v>23</v>
      </c>
      <c r="J208" t="str">
        <f t="shared" si="30"/>
        <v>2B</v>
      </c>
      <c r="K208" t="str">
        <f t="shared" si="31"/>
        <v>2B</v>
      </c>
      <c r="L208">
        <f t="shared" si="32"/>
        <v>35</v>
      </c>
      <c r="M208">
        <f t="shared" si="33"/>
        <v>43</v>
      </c>
      <c r="N208">
        <f t="shared" si="34"/>
        <v>43</v>
      </c>
      <c r="P208" t="str">
        <f t="shared" si="35"/>
        <v>.CharlestonGreen-bg{background-color:#232B2B;}</v>
      </c>
    </row>
    <row r="209" spans="2:16" ht="15.75">
      <c r="B209" s="1" t="s">
        <v>610</v>
      </c>
      <c r="C209" t="s">
        <v>611</v>
      </c>
      <c r="D209">
        <v>229.5</v>
      </c>
      <c r="E209">
        <v>142.80000000000001</v>
      </c>
      <c r="F209">
        <v>229.5</v>
      </c>
      <c r="G209" t="str">
        <f t="shared" si="27"/>
        <v>CharmPink</v>
      </c>
      <c r="H209" t="str">
        <f t="shared" si="28"/>
        <v>E68FAC</v>
      </c>
      <c r="I209" t="str">
        <f t="shared" si="29"/>
        <v>E6</v>
      </c>
      <c r="J209" t="str">
        <f t="shared" si="30"/>
        <v>8F</v>
      </c>
      <c r="K209" t="str">
        <f t="shared" si="31"/>
        <v>AC</v>
      </c>
      <c r="L209">
        <f t="shared" si="32"/>
        <v>230</v>
      </c>
      <c r="M209">
        <f t="shared" si="33"/>
        <v>143</v>
      </c>
      <c r="N209">
        <f t="shared" si="34"/>
        <v>172</v>
      </c>
      <c r="P209" t="str">
        <f t="shared" si="35"/>
        <v>.CharmPink-bg{background-color:#E68FAC;}</v>
      </c>
    </row>
    <row r="210" spans="2:16" ht="15.75">
      <c r="B210" s="1" t="s">
        <v>612</v>
      </c>
      <c r="C210" t="s">
        <v>613</v>
      </c>
      <c r="D210">
        <v>221.85</v>
      </c>
      <c r="E210">
        <v>255</v>
      </c>
      <c r="F210">
        <v>221.85</v>
      </c>
      <c r="G210" t="str">
        <f t="shared" si="27"/>
        <v>ChartreuseTraditional</v>
      </c>
      <c r="H210" t="str">
        <f t="shared" si="28"/>
        <v>DFFF00</v>
      </c>
      <c r="I210" t="str">
        <f t="shared" si="29"/>
        <v>DF</v>
      </c>
      <c r="J210" t="str">
        <f t="shared" si="30"/>
        <v>FF</v>
      </c>
      <c r="K210" t="str">
        <f t="shared" si="31"/>
        <v>00</v>
      </c>
      <c r="L210">
        <f t="shared" si="32"/>
        <v>223</v>
      </c>
      <c r="M210">
        <f t="shared" si="33"/>
        <v>255</v>
      </c>
      <c r="N210">
        <f t="shared" si="34"/>
        <v>0</v>
      </c>
      <c r="P210" t="str">
        <f t="shared" si="35"/>
        <v>.ChartreuseTraditional-bg{background-color:#DFFF00;}</v>
      </c>
    </row>
    <row r="211" spans="2:16" ht="15.75">
      <c r="B211" s="1" t="s">
        <v>614</v>
      </c>
      <c r="C211" t="s">
        <v>615</v>
      </c>
      <c r="D211">
        <v>127.5</v>
      </c>
      <c r="E211">
        <v>255</v>
      </c>
      <c r="F211">
        <v>127.5</v>
      </c>
      <c r="G211" t="str">
        <f t="shared" si="27"/>
        <v>ChartreuseWeb</v>
      </c>
      <c r="H211" t="str">
        <f t="shared" si="28"/>
        <v>7FFF00</v>
      </c>
      <c r="I211" t="str">
        <f t="shared" si="29"/>
        <v>7F</v>
      </c>
      <c r="J211" t="str">
        <f t="shared" si="30"/>
        <v>FF</v>
      </c>
      <c r="K211" t="str">
        <f t="shared" si="31"/>
        <v>00</v>
      </c>
      <c r="L211">
        <f t="shared" si="32"/>
        <v>127</v>
      </c>
      <c r="M211">
        <f t="shared" si="33"/>
        <v>255</v>
      </c>
      <c r="N211">
        <f t="shared" si="34"/>
        <v>0</v>
      </c>
      <c r="P211" t="str">
        <f t="shared" si="35"/>
        <v>.ChartreuseWeb-bg{background-color:#7FFF00;}</v>
      </c>
    </row>
    <row r="212" spans="2:16" ht="15.75">
      <c r="B212" s="1" t="s">
        <v>616</v>
      </c>
      <c r="C212" t="s">
        <v>590</v>
      </c>
      <c r="D212">
        <v>221.85</v>
      </c>
      <c r="E212">
        <v>48.45</v>
      </c>
      <c r="F212">
        <v>221.85</v>
      </c>
      <c r="G212" t="str">
        <f t="shared" si="27"/>
        <v>Cherry</v>
      </c>
      <c r="H212" t="str">
        <f t="shared" si="28"/>
        <v>DE3163</v>
      </c>
      <c r="I212" t="str">
        <f t="shared" si="29"/>
        <v>DE</v>
      </c>
      <c r="J212" t="str">
        <f t="shared" si="30"/>
        <v>31</v>
      </c>
      <c r="K212" t="str">
        <f t="shared" si="31"/>
        <v>63</v>
      </c>
      <c r="L212">
        <f t="shared" si="32"/>
        <v>222</v>
      </c>
      <c r="M212">
        <f t="shared" si="33"/>
        <v>49</v>
      </c>
      <c r="N212">
        <f t="shared" si="34"/>
        <v>99</v>
      </c>
      <c r="P212" t="str">
        <f t="shared" si="35"/>
        <v>.Cherry-bg{background-color:#DE3163;}</v>
      </c>
    </row>
    <row r="213" spans="2:16" ht="15.75">
      <c r="B213" s="1" t="s">
        <v>617</v>
      </c>
      <c r="C213" t="s">
        <v>618</v>
      </c>
      <c r="D213">
        <v>255</v>
      </c>
      <c r="E213">
        <v>183.6</v>
      </c>
      <c r="F213">
        <v>255</v>
      </c>
      <c r="G213" t="str">
        <f t="shared" si="27"/>
        <v>CherryBlossomPink</v>
      </c>
      <c r="H213" t="str">
        <f t="shared" si="28"/>
        <v>FFB7C5</v>
      </c>
      <c r="I213" t="str">
        <f t="shared" si="29"/>
        <v>FF</v>
      </c>
      <c r="J213" t="str">
        <f t="shared" si="30"/>
        <v>B7</v>
      </c>
      <c r="K213" t="str">
        <f t="shared" si="31"/>
        <v>C5</v>
      </c>
      <c r="L213">
        <f t="shared" si="32"/>
        <v>255</v>
      </c>
      <c r="M213">
        <f t="shared" si="33"/>
        <v>183</v>
      </c>
      <c r="N213">
        <f t="shared" si="34"/>
        <v>197</v>
      </c>
      <c r="P213" t="str">
        <f t="shared" si="35"/>
        <v>.CherryBlossomPink-bg{background-color:#FFB7C5;}</v>
      </c>
    </row>
    <row r="214" spans="2:16" ht="15.75">
      <c r="B214" s="1" t="s">
        <v>619</v>
      </c>
      <c r="C214" t="s">
        <v>620</v>
      </c>
      <c r="D214">
        <v>147.9</v>
      </c>
      <c r="E214">
        <v>68.849999999999994</v>
      </c>
      <c r="F214">
        <v>147.9</v>
      </c>
      <c r="G214" t="str">
        <f t="shared" si="27"/>
        <v>Chestnut</v>
      </c>
      <c r="H214" t="str">
        <f t="shared" si="28"/>
        <v>954535</v>
      </c>
      <c r="I214" t="str">
        <f t="shared" si="29"/>
        <v>95</v>
      </c>
      <c r="J214" t="str">
        <f t="shared" si="30"/>
        <v>45</v>
      </c>
      <c r="K214" t="str">
        <f t="shared" si="31"/>
        <v>35</v>
      </c>
      <c r="L214">
        <f t="shared" si="32"/>
        <v>149</v>
      </c>
      <c r="M214">
        <f t="shared" si="33"/>
        <v>69</v>
      </c>
      <c r="N214">
        <f t="shared" si="34"/>
        <v>53</v>
      </c>
      <c r="P214" t="str">
        <f t="shared" si="35"/>
        <v>.Chestnut-bg{background-color:#954535;}</v>
      </c>
    </row>
    <row r="215" spans="2:16" ht="15.75">
      <c r="B215" s="1" t="s">
        <v>621</v>
      </c>
      <c r="C215" t="s">
        <v>622</v>
      </c>
      <c r="D215">
        <v>221.85</v>
      </c>
      <c r="E215">
        <v>112.2</v>
      </c>
      <c r="F215">
        <v>221.85</v>
      </c>
      <c r="G215" t="str">
        <f t="shared" si="27"/>
        <v>ChinaPink</v>
      </c>
      <c r="H215" t="str">
        <f t="shared" si="28"/>
        <v>DE6FA1</v>
      </c>
      <c r="I215" t="str">
        <f t="shared" si="29"/>
        <v>DE</v>
      </c>
      <c r="J215" t="str">
        <f t="shared" si="30"/>
        <v>6F</v>
      </c>
      <c r="K215" t="str">
        <f t="shared" si="31"/>
        <v>A1</v>
      </c>
      <c r="L215">
        <f t="shared" si="32"/>
        <v>222</v>
      </c>
      <c r="M215">
        <f t="shared" si="33"/>
        <v>111</v>
      </c>
      <c r="N215">
        <f t="shared" si="34"/>
        <v>161</v>
      </c>
      <c r="P215" t="str">
        <f t="shared" si="35"/>
        <v>.ChinaPink-bg{background-color:#DE6FA1;}</v>
      </c>
    </row>
    <row r="216" spans="2:16" ht="15.75">
      <c r="B216" s="1" t="s">
        <v>623</v>
      </c>
      <c r="C216" t="s">
        <v>624</v>
      </c>
      <c r="D216">
        <v>168.3</v>
      </c>
      <c r="E216">
        <v>81.599999999999994</v>
      </c>
      <c r="F216">
        <v>168.3</v>
      </c>
      <c r="G216" t="str">
        <f t="shared" si="27"/>
        <v>ChinaRose</v>
      </c>
      <c r="H216" t="str">
        <f t="shared" si="28"/>
        <v>A8516E</v>
      </c>
      <c r="I216" t="str">
        <f t="shared" si="29"/>
        <v>A8</v>
      </c>
      <c r="J216" t="str">
        <f t="shared" si="30"/>
        <v>51</v>
      </c>
      <c r="K216" t="str">
        <f t="shared" si="31"/>
        <v>6E</v>
      </c>
      <c r="L216">
        <f t="shared" si="32"/>
        <v>168</v>
      </c>
      <c r="M216">
        <f t="shared" si="33"/>
        <v>81</v>
      </c>
      <c r="N216">
        <f t="shared" si="34"/>
        <v>110</v>
      </c>
      <c r="P216" t="str">
        <f t="shared" si="35"/>
        <v>.ChinaRose-bg{background-color:#A8516E;}</v>
      </c>
    </row>
    <row r="217" spans="2:16" ht="15.75">
      <c r="B217" s="1" t="s">
        <v>625</v>
      </c>
      <c r="C217" t="s">
        <v>626</v>
      </c>
      <c r="D217">
        <v>170.85</v>
      </c>
      <c r="E217">
        <v>56.1</v>
      </c>
      <c r="F217">
        <v>170.85</v>
      </c>
      <c r="G217" t="str">
        <f t="shared" si="27"/>
        <v>ChineseRed</v>
      </c>
      <c r="H217" t="str">
        <f t="shared" si="28"/>
        <v>AA381E</v>
      </c>
      <c r="I217" t="str">
        <f t="shared" si="29"/>
        <v>AA</v>
      </c>
      <c r="J217" t="str">
        <f t="shared" si="30"/>
        <v>38</v>
      </c>
      <c r="K217" t="str">
        <f t="shared" si="31"/>
        <v>1E</v>
      </c>
      <c r="L217">
        <f t="shared" si="32"/>
        <v>170</v>
      </c>
      <c r="M217">
        <f t="shared" si="33"/>
        <v>56</v>
      </c>
      <c r="N217">
        <f t="shared" si="34"/>
        <v>30</v>
      </c>
      <c r="P217" t="str">
        <f t="shared" si="35"/>
        <v>.ChineseRed-bg{background-color:#AA381E;}</v>
      </c>
    </row>
    <row r="218" spans="2:16" ht="15.75">
      <c r="B218" s="1" t="s">
        <v>627</v>
      </c>
      <c r="C218" t="s">
        <v>628</v>
      </c>
      <c r="D218">
        <v>132.6</v>
      </c>
      <c r="E218">
        <v>96.9</v>
      </c>
      <c r="F218">
        <v>132.6</v>
      </c>
      <c r="G218" t="str">
        <f t="shared" si="27"/>
        <v>ChineseViolet</v>
      </c>
      <c r="H218" t="str">
        <f t="shared" si="28"/>
        <v>856088</v>
      </c>
      <c r="I218" t="str">
        <f t="shared" si="29"/>
        <v>85</v>
      </c>
      <c r="J218" t="str">
        <f t="shared" si="30"/>
        <v>60</v>
      </c>
      <c r="K218" t="str">
        <f t="shared" si="31"/>
        <v>88</v>
      </c>
      <c r="L218">
        <f t="shared" si="32"/>
        <v>133</v>
      </c>
      <c r="M218">
        <f t="shared" si="33"/>
        <v>96</v>
      </c>
      <c r="N218">
        <f t="shared" si="34"/>
        <v>136</v>
      </c>
      <c r="P218" t="str">
        <f t="shared" si="35"/>
        <v>.ChineseViolet-bg{background-color:#856088;}</v>
      </c>
    </row>
    <row r="219" spans="2:16" ht="15.75">
      <c r="B219" s="1" t="s">
        <v>629</v>
      </c>
      <c r="C219" t="s">
        <v>630</v>
      </c>
      <c r="D219">
        <v>73.95</v>
      </c>
      <c r="E219">
        <v>255</v>
      </c>
      <c r="F219">
        <v>73.95</v>
      </c>
      <c r="G219" t="str">
        <f t="shared" si="27"/>
        <v>ChlorophyllGreen</v>
      </c>
      <c r="H219" t="str">
        <f t="shared" si="28"/>
        <v>4AFF00</v>
      </c>
      <c r="I219" t="str">
        <f t="shared" si="29"/>
        <v>4A</v>
      </c>
      <c r="J219" t="str">
        <f t="shared" si="30"/>
        <v>FF</v>
      </c>
      <c r="K219" t="str">
        <f t="shared" si="31"/>
        <v>00</v>
      </c>
      <c r="L219">
        <f t="shared" si="32"/>
        <v>74</v>
      </c>
      <c r="M219">
        <f t="shared" si="33"/>
        <v>255</v>
      </c>
      <c r="N219">
        <f t="shared" si="34"/>
        <v>0</v>
      </c>
      <c r="P219" t="str">
        <f t="shared" si="35"/>
        <v>.ChlorophyllGreen-bg{background-color:#4AFF00;}</v>
      </c>
    </row>
    <row r="220" spans="2:16" ht="15.75">
      <c r="B220" s="1" t="s">
        <v>631</v>
      </c>
      <c r="C220" t="s">
        <v>632</v>
      </c>
      <c r="D220">
        <v>122.4</v>
      </c>
      <c r="E220">
        <v>63.75</v>
      </c>
      <c r="F220">
        <v>122.4</v>
      </c>
      <c r="G220" t="str">
        <f t="shared" si="27"/>
        <v>ChocolateTraditional</v>
      </c>
      <c r="H220" t="str">
        <f t="shared" si="28"/>
        <v>7B3F00</v>
      </c>
      <c r="I220" t="str">
        <f t="shared" si="29"/>
        <v>7B</v>
      </c>
      <c r="J220" t="str">
        <f t="shared" si="30"/>
        <v>3F</v>
      </c>
      <c r="K220" t="str">
        <f t="shared" si="31"/>
        <v>00</v>
      </c>
      <c r="L220">
        <f t="shared" si="32"/>
        <v>123</v>
      </c>
      <c r="M220">
        <f t="shared" si="33"/>
        <v>63</v>
      </c>
      <c r="N220">
        <f t="shared" si="34"/>
        <v>0</v>
      </c>
      <c r="P220" t="str">
        <f t="shared" si="35"/>
        <v>.ChocolateTraditional-bg{background-color:#7B3F00;}</v>
      </c>
    </row>
    <row r="221" spans="2:16" ht="15.75">
      <c r="B221" s="1" t="s">
        <v>633</v>
      </c>
      <c r="C221" t="s">
        <v>634</v>
      </c>
      <c r="D221">
        <v>209.1</v>
      </c>
      <c r="E221">
        <v>104.55</v>
      </c>
      <c r="F221">
        <v>209.1</v>
      </c>
      <c r="G221" t="str">
        <f t="shared" si="27"/>
        <v>ChocolateWeb</v>
      </c>
      <c r="H221" t="str">
        <f t="shared" si="28"/>
        <v>D2691E</v>
      </c>
      <c r="I221" t="str">
        <f t="shared" si="29"/>
        <v>D2</v>
      </c>
      <c r="J221" t="str">
        <f t="shared" si="30"/>
        <v>69</v>
      </c>
      <c r="K221" t="str">
        <f t="shared" si="31"/>
        <v>1E</v>
      </c>
      <c r="L221">
        <f t="shared" si="32"/>
        <v>210</v>
      </c>
      <c r="M221">
        <f t="shared" si="33"/>
        <v>105</v>
      </c>
      <c r="N221">
        <f t="shared" si="34"/>
        <v>30</v>
      </c>
      <c r="P221" t="str">
        <f t="shared" si="35"/>
        <v>.ChocolateWeb-bg{background-color:#D2691E;}</v>
      </c>
    </row>
    <row r="222" spans="2:16" ht="15.75">
      <c r="B222" s="1" t="s">
        <v>635</v>
      </c>
      <c r="C222" t="s">
        <v>636</v>
      </c>
      <c r="D222">
        <v>255</v>
      </c>
      <c r="E222">
        <v>165.75</v>
      </c>
      <c r="F222">
        <v>255</v>
      </c>
      <c r="G222" t="str">
        <f t="shared" si="27"/>
        <v>ChromeYellow</v>
      </c>
      <c r="H222" t="str">
        <f t="shared" si="28"/>
        <v>FFA700</v>
      </c>
      <c r="I222" t="str">
        <f t="shared" si="29"/>
        <v>FF</v>
      </c>
      <c r="J222" t="str">
        <f t="shared" si="30"/>
        <v>A7</v>
      </c>
      <c r="K222" t="str">
        <f t="shared" si="31"/>
        <v>00</v>
      </c>
      <c r="L222">
        <f t="shared" si="32"/>
        <v>255</v>
      </c>
      <c r="M222">
        <f t="shared" si="33"/>
        <v>167</v>
      </c>
      <c r="N222">
        <f t="shared" si="34"/>
        <v>0</v>
      </c>
      <c r="P222" t="str">
        <f t="shared" si="35"/>
        <v>.ChromeYellow-bg{background-color:#FFA700;}</v>
      </c>
    </row>
    <row r="223" spans="2:16" ht="15.75">
      <c r="B223" s="1" t="s">
        <v>637</v>
      </c>
      <c r="C223" t="s">
        <v>638</v>
      </c>
      <c r="D223">
        <v>153</v>
      </c>
      <c r="E223">
        <v>130.05000000000001</v>
      </c>
      <c r="F223">
        <v>153</v>
      </c>
      <c r="G223" t="str">
        <f t="shared" si="27"/>
        <v>Cinereous</v>
      </c>
      <c r="H223" t="str">
        <f t="shared" si="28"/>
        <v>98817B</v>
      </c>
      <c r="I223" t="str">
        <f t="shared" si="29"/>
        <v>98</v>
      </c>
      <c r="J223" t="str">
        <f t="shared" si="30"/>
        <v>81</v>
      </c>
      <c r="K223" t="str">
        <f t="shared" si="31"/>
        <v>7B</v>
      </c>
      <c r="L223">
        <f t="shared" si="32"/>
        <v>152</v>
      </c>
      <c r="M223">
        <f t="shared" si="33"/>
        <v>129</v>
      </c>
      <c r="N223">
        <f t="shared" si="34"/>
        <v>123</v>
      </c>
      <c r="P223" t="str">
        <f t="shared" si="35"/>
        <v>.Cinereous-bg{background-color:#98817B;}</v>
      </c>
    </row>
    <row r="224" spans="2:16" ht="15.75">
      <c r="B224" s="1" t="s">
        <v>639</v>
      </c>
      <c r="C224" t="s">
        <v>640</v>
      </c>
      <c r="D224">
        <v>226.95</v>
      </c>
      <c r="E224">
        <v>66.3</v>
      </c>
      <c r="F224">
        <v>226.95</v>
      </c>
      <c r="G224" t="str">
        <f t="shared" si="27"/>
        <v>Cinnabar</v>
      </c>
      <c r="H224" t="str">
        <f t="shared" si="28"/>
        <v>E34234</v>
      </c>
      <c r="I224" t="str">
        <f t="shared" si="29"/>
        <v>E3</v>
      </c>
      <c r="J224" t="str">
        <f t="shared" si="30"/>
        <v>42</v>
      </c>
      <c r="K224" t="str">
        <f t="shared" si="31"/>
        <v>34</v>
      </c>
      <c r="L224">
        <f t="shared" si="32"/>
        <v>227</v>
      </c>
      <c r="M224">
        <f t="shared" si="33"/>
        <v>66</v>
      </c>
      <c r="N224">
        <f t="shared" si="34"/>
        <v>52</v>
      </c>
      <c r="P224" t="str">
        <f t="shared" si="35"/>
        <v>.Cinnabar-bg{background-color:#E34234;}</v>
      </c>
    </row>
    <row r="225" spans="2:16" ht="15.75">
      <c r="B225" s="1" t="s">
        <v>641</v>
      </c>
      <c r="C225" t="s">
        <v>634</v>
      </c>
      <c r="D225">
        <v>209.1</v>
      </c>
      <c r="E225">
        <v>104.55</v>
      </c>
      <c r="F225">
        <v>209.1</v>
      </c>
      <c r="G225" t="str">
        <f t="shared" si="27"/>
        <v>CinnamoncitationNeeded</v>
      </c>
      <c r="H225" t="str">
        <f t="shared" si="28"/>
        <v>D2691E</v>
      </c>
      <c r="I225" t="str">
        <f t="shared" si="29"/>
        <v>D2</v>
      </c>
      <c r="J225" t="str">
        <f t="shared" si="30"/>
        <v>69</v>
      </c>
      <c r="K225" t="str">
        <f t="shared" si="31"/>
        <v>1E</v>
      </c>
      <c r="L225">
        <f t="shared" si="32"/>
        <v>210</v>
      </c>
      <c r="M225">
        <f t="shared" si="33"/>
        <v>105</v>
      </c>
      <c r="N225">
        <f t="shared" si="34"/>
        <v>30</v>
      </c>
      <c r="P225" t="str">
        <f t="shared" si="35"/>
        <v>.CinnamoncitationNeeded-bg{background-color:#D2691E;}</v>
      </c>
    </row>
    <row r="226" spans="2:16" ht="15.75">
      <c r="B226" s="1" t="s">
        <v>642</v>
      </c>
      <c r="C226" t="s">
        <v>643</v>
      </c>
      <c r="D226">
        <v>204</v>
      </c>
      <c r="E226">
        <v>96.9</v>
      </c>
      <c r="F226">
        <v>204</v>
      </c>
      <c r="G226" t="str">
        <f t="shared" si="27"/>
        <v>CinnamonSatin</v>
      </c>
      <c r="H226" t="str">
        <f t="shared" si="28"/>
        <v>CD607E</v>
      </c>
      <c r="I226" t="str">
        <f t="shared" si="29"/>
        <v>CD</v>
      </c>
      <c r="J226" t="str">
        <f t="shared" si="30"/>
        <v>60</v>
      </c>
      <c r="K226" t="str">
        <f t="shared" si="31"/>
        <v>7E</v>
      </c>
      <c r="L226">
        <f t="shared" si="32"/>
        <v>205</v>
      </c>
      <c r="M226">
        <f t="shared" si="33"/>
        <v>96</v>
      </c>
      <c r="N226">
        <f t="shared" si="34"/>
        <v>126</v>
      </c>
      <c r="P226" t="str">
        <f t="shared" si="35"/>
        <v>.CinnamonSatin-bg{background-color:#CD607E;}</v>
      </c>
    </row>
    <row r="227" spans="2:16" ht="15.75">
      <c r="B227" s="1" t="s">
        <v>644</v>
      </c>
      <c r="C227" t="s">
        <v>645</v>
      </c>
      <c r="D227">
        <v>226.95</v>
      </c>
      <c r="E227">
        <v>209.1</v>
      </c>
      <c r="F227">
        <v>226.95</v>
      </c>
      <c r="G227" t="str">
        <f t="shared" si="27"/>
        <v>Citrine</v>
      </c>
      <c r="H227" t="str">
        <f t="shared" si="28"/>
        <v>E4D00A</v>
      </c>
      <c r="I227" t="str">
        <f t="shared" si="29"/>
        <v>E4</v>
      </c>
      <c r="J227" t="str">
        <f t="shared" si="30"/>
        <v>D0</v>
      </c>
      <c r="K227" t="str">
        <f t="shared" si="31"/>
        <v>0A</v>
      </c>
      <c r="L227">
        <f t="shared" si="32"/>
        <v>228</v>
      </c>
      <c r="M227">
        <f t="shared" si="33"/>
        <v>208</v>
      </c>
      <c r="N227">
        <f t="shared" si="34"/>
        <v>10</v>
      </c>
      <c r="P227" t="str">
        <f t="shared" si="35"/>
        <v>.Citrine-bg{background-color:#E4D00A;}</v>
      </c>
    </row>
    <row r="228" spans="2:16" ht="15.75">
      <c r="B228" s="1" t="s">
        <v>646</v>
      </c>
      <c r="C228" t="s">
        <v>647</v>
      </c>
      <c r="D228">
        <v>158.1</v>
      </c>
      <c r="E228">
        <v>168.3</v>
      </c>
      <c r="F228">
        <v>158.1</v>
      </c>
      <c r="G228" t="str">
        <f t="shared" si="27"/>
        <v>Citron</v>
      </c>
      <c r="H228" t="str">
        <f t="shared" si="28"/>
        <v>9FA91F</v>
      </c>
      <c r="I228" t="str">
        <f t="shared" si="29"/>
        <v>9F</v>
      </c>
      <c r="J228" t="str">
        <f t="shared" si="30"/>
        <v>A9</v>
      </c>
      <c r="K228" t="str">
        <f t="shared" si="31"/>
        <v>1F</v>
      </c>
      <c r="L228">
        <f t="shared" si="32"/>
        <v>159</v>
      </c>
      <c r="M228">
        <f t="shared" si="33"/>
        <v>169</v>
      </c>
      <c r="N228">
        <f t="shared" si="34"/>
        <v>31</v>
      </c>
      <c r="P228" t="str">
        <f t="shared" si="35"/>
        <v>.Citron-bg{background-color:#9FA91F;}</v>
      </c>
    </row>
    <row r="229" spans="2:16" ht="15.75">
      <c r="B229" s="1" t="s">
        <v>648</v>
      </c>
      <c r="C229" t="s">
        <v>649</v>
      </c>
      <c r="D229">
        <v>127.5</v>
      </c>
      <c r="E229">
        <v>22.95</v>
      </c>
      <c r="F229">
        <v>127.5</v>
      </c>
      <c r="G229" t="str">
        <f t="shared" si="27"/>
        <v>Claret</v>
      </c>
      <c r="H229" t="str">
        <f t="shared" si="28"/>
        <v>7F1734</v>
      </c>
      <c r="I229" t="str">
        <f t="shared" si="29"/>
        <v>7F</v>
      </c>
      <c r="J229" t="str">
        <f t="shared" si="30"/>
        <v>17</v>
      </c>
      <c r="K229" t="str">
        <f t="shared" si="31"/>
        <v>34</v>
      </c>
      <c r="L229">
        <f t="shared" si="32"/>
        <v>127</v>
      </c>
      <c r="M229">
        <f t="shared" si="33"/>
        <v>23</v>
      </c>
      <c r="N229">
        <f t="shared" si="34"/>
        <v>52</v>
      </c>
      <c r="P229" t="str">
        <f t="shared" si="35"/>
        <v>.Claret-bg{background-color:#7F1734;}</v>
      </c>
    </row>
    <row r="230" spans="2:16" ht="15.75">
      <c r="B230" s="1" t="s">
        <v>650</v>
      </c>
      <c r="C230" t="s">
        <v>651</v>
      </c>
      <c r="D230">
        <v>249.9</v>
      </c>
      <c r="E230">
        <v>204</v>
      </c>
      <c r="F230">
        <v>249.9</v>
      </c>
      <c r="G230" t="str">
        <f t="shared" si="27"/>
        <v>ClassicRose</v>
      </c>
      <c r="H230" t="str">
        <f t="shared" si="28"/>
        <v>FBCCE7</v>
      </c>
      <c r="I230" t="str">
        <f t="shared" si="29"/>
        <v>FB</v>
      </c>
      <c r="J230" t="str">
        <f t="shared" si="30"/>
        <v>CC</v>
      </c>
      <c r="K230" t="str">
        <f t="shared" si="31"/>
        <v>E7</v>
      </c>
      <c r="L230">
        <f t="shared" si="32"/>
        <v>251</v>
      </c>
      <c r="M230">
        <f t="shared" si="33"/>
        <v>204</v>
      </c>
      <c r="N230">
        <f t="shared" si="34"/>
        <v>231</v>
      </c>
      <c r="P230" t="str">
        <f t="shared" si="35"/>
        <v>.ClassicRose-bg{background-color:#FBCCE7;}</v>
      </c>
    </row>
    <row r="231" spans="2:16" ht="15.75">
      <c r="B231" s="1" t="s">
        <v>652</v>
      </c>
      <c r="C231" t="s">
        <v>653</v>
      </c>
      <c r="D231">
        <v>0</v>
      </c>
      <c r="E231">
        <v>71.400000000000006</v>
      </c>
      <c r="F231">
        <v>0</v>
      </c>
      <c r="G231" t="str">
        <f t="shared" si="27"/>
        <v>CobaltBlue</v>
      </c>
      <c r="H231" t="str">
        <f t="shared" si="28"/>
        <v>0047AB</v>
      </c>
      <c r="I231" t="str">
        <f t="shared" si="29"/>
        <v>00</v>
      </c>
      <c r="J231" t="str">
        <f t="shared" si="30"/>
        <v>47</v>
      </c>
      <c r="K231" t="str">
        <f t="shared" si="31"/>
        <v>AB</v>
      </c>
      <c r="L231">
        <f t="shared" si="32"/>
        <v>0</v>
      </c>
      <c r="M231">
        <f t="shared" si="33"/>
        <v>71</v>
      </c>
      <c r="N231">
        <f t="shared" si="34"/>
        <v>171</v>
      </c>
      <c r="P231" t="str">
        <f t="shared" si="35"/>
        <v>.CobaltBlue-bg{background-color:#0047AB;}</v>
      </c>
    </row>
    <row r="232" spans="2:16" ht="15.75">
      <c r="B232" s="1" t="s">
        <v>654</v>
      </c>
      <c r="C232" t="s">
        <v>634</v>
      </c>
      <c r="D232">
        <v>209.1</v>
      </c>
      <c r="E232">
        <v>104.55</v>
      </c>
      <c r="F232">
        <v>209.1</v>
      </c>
      <c r="G232" t="str">
        <f t="shared" si="27"/>
        <v>CocoaBrown</v>
      </c>
      <c r="H232" t="str">
        <f t="shared" si="28"/>
        <v>D2691E</v>
      </c>
      <c r="I232" t="str">
        <f t="shared" si="29"/>
        <v>D2</v>
      </c>
      <c r="J232" t="str">
        <f t="shared" si="30"/>
        <v>69</v>
      </c>
      <c r="K232" t="str">
        <f t="shared" si="31"/>
        <v>1E</v>
      </c>
      <c r="L232">
        <f t="shared" si="32"/>
        <v>210</v>
      </c>
      <c r="M232">
        <f t="shared" si="33"/>
        <v>105</v>
      </c>
      <c r="N232">
        <f t="shared" si="34"/>
        <v>30</v>
      </c>
      <c r="P232" t="str">
        <f t="shared" si="35"/>
        <v>.CocoaBrown-bg{background-color:#D2691E;}</v>
      </c>
    </row>
    <row r="233" spans="2:16" ht="15.75">
      <c r="B233" s="1" t="s">
        <v>655</v>
      </c>
      <c r="C233" t="s">
        <v>656</v>
      </c>
      <c r="D233">
        <v>150.44999999999999</v>
      </c>
      <c r="E233">
        <v>89.25</v>
      </c>
      <c r="F233">
        <v>150.44999999999999</v>
      </c>
      <c r="G233" t="str">
        <f t="shared" si="27"/>
        <v>Coconut</v>
      </c>
      <c r="H233" t="str">
        <f t="shared" si="28"/>
        <v>965A3E</v>
      </c>
      <c r="I233" t="str">
        <f t="shared" si="29"/>
        <v>96</v>
      </c>
      <c r="J233" t="str">
        <f t="shared" si="30"/>
        <v>5A</v>
      </c>
      <c r="K233" t="str">
        <f t="shared" si="31"/>
        <v>3E</v>
      </c>
      <c r="L233">
        <f t="shared" si="32"/>
        <v>150</v>
      </c>
      <c r="M233">
        <f t="shared" si="33"/>
        <v>90</v>
      </c>
      <c r="N233">
        <f t="shared" si="34"/>
        <v>62</v>
      </c>
      <c r="P233" t="str">
        <f t="shared" si="35"/>
        <v>.Coconut-bg{background-color:#965A3E;}</v>
      </c>
    </row>
    <row r="234" spans="2:16" ht="15.75">
      <c r="B234" s="1" t="s">
        <v>657</v>
      </c>
      <c r="C234" t="s">
        <v>658</v>
      </c>
      <c r="D234">
        <v>112.2</v>
      </c>
      <c r="E234">
        <v>79.05</v>
      </c>
      <c r="F234">
        <v>112.2</v>
      </c>
      <c r="G234" t="str">
        <f t="shared" si="27"/>
        <v>Coffee</v>
      </c>
      <c r="H234" t="str">
        <f t="shared" si="28"/>
        <v>6F4E37</v>
      </c>
      <c r="I234" t="str">
        <f t="shared" si="29"/>
        <v>6F</v>
      </c>
      <c r="J234" t="str">
        <f t="shared" si="30"/>
        <v>4E</v>
      </c>
      <c r="K234" t="str">
        <f t="shared" si="31"/>
        <v>37</v>
      </c>
      <c r="L234">
        <f t="shared" si="32"/>
        <v>111</v>
      </c>
      <c r="M234">
        <f t="shared" si="33"/>
        <v>78</v>
      </c>
      <c r="N234">
        <f t="shared" si="34"/>
        <v>55</v>
      </c>
      <c r="P234" t="str">
        <f t="shared" si="35"/>
        <v>.Coffee-bg{background-color:#6F4E37;}</v>
      </c>
    </row>
    <row r="235" spans="2:16" ht="15.75">
      <c r="B235" s="1" t="s">
        <v>659</v>
      </c>
      <c r="C235" t="s">
        <v>660</v>
      </c>
      <c r="D235">
        <v>196.35</v>
      </c>
      <c r="E235">
        <v>216.75</v>
      </c>
      <c r="F235">
        <v>196.35</v>
      </c>
      <c r="G235" t="str">
        <f t="shared" si="27"/>
        <v>ColumbiaBlue</v>
      </c>
      <c r="H235" t="str">
        <f t="shared" si="28"/>
        <v>C4D8E2</v>
      </c>
      <c r="I235" t="str">
        <f t="shared" si="29"/>
        <v>C4</v>
      </c>
      <c r="J235" t="str">
        <f t="shared" si="30"/>
        <v>D8</v>
      </c>
      <c r="K235" t="str">
        <f t="shared" si="31"/>
        <v>E2</v>
      </c>
      <c r="L235">
        <f t="shared" si="32"/>
        <v>196</v>
      </c>
      <c r="M235">
        <f t="shared" si="33"/>
        <v>216</v>
      </c>
      <c r="N235">
        <f t="shared" si="34"/>
        <v>226</v>
      </c>
      <c r="P235" t="str">
        <f t="shared" si="35"/>
        <v>.ColumbiaBlue-bg{background-color:#C4D8E2;}</v>
      </c>
    </row>
    <row r="236" spans="2:16" ht="15.75">
      <c r="B236" s="1" t="s">
        <v>661</v>
      </c>
      <c r="C236" t="s">
        <v>662</v>
      </c>
      <c r="D236">
        <v>247.35</v>
      </c>
      <c r="E236">
        <v>130.05000000000001</v>
      </c>
      <c r="F236">
        <v>247.35</v>
      </c>
      <c r="G236" t="str">
        <f t="shared" si="27"/>
        <v>CongoPink</v>
      </c>
      <c r="H236" t="str">
        <f t="shared" si="28"/>
        <v>F88379</v>
      </c>
      <c r="I236" t="str">
        <f t="shared" si="29"/>
        <v>F8</v>
      </c>
      <c r="J236" t="str">
        <f t="shared" si="30"/>
        <v>83</v>
      </c>
      <c r="K236" t="str">
        <f t="shared" si="31"/>
        <v>79</v>
      </c>
      <c r="L236">
        <f t="shared" si="32"/>
        <v>248</v>
      </c>
      <c r="M236">
        <f t="shared" si="33"/>
        <v>131</v>
      </c>
      <c r="N236">
        <f t="shared" si="34"/>
        <v>121</v>
      </c>
      <c r="P236" t="str">
        <f t="shared" si="35"/>
        <v>.CongoPink-bg{background-color:#F88379;}</v>
      </c>
    </row>
    <row r="237" spans="2:16" ht="15.75">
      <c r="B237" s="1" t="s">
        <v>663</v>
      </c>
      <c r="C237" t="s">
        <v>664</v>
      </c>
      <c r="D237">
        <v>0</v>
      </c>
      <c r="E237">
        <v>45.9</v>
      </c>
      <c r="F237">
        <v>0</v>
      </c>
      <c r="G237" t="str">
        <f t="shared" si="27"/>
        <v>CoolBlack</v>
      </c>
      <c r="H237" t="str">
        <f t="shared" si="28"/>
        <v>002E63</v>
      </c>
      <c r="I237" t="str">
        <f t="shared" si="29"/>
        <v>00</v>
      </c>
      <c r="J237" t="str">
        <f t="shared" si="30"/>
        <v>2E</v>
      </c>
      <c r="K237" t="str">
        <f t="shared" si="31"/>
        <v>63</v>
      </c>
      <c r="L237">
        <f t="shared" si="32"/>
        <v>0</v>
      </c>
      <c r="M237">
        <f t="shared" si="33"/>
        <v>46</v>
      </c>
      <c r="N237">
        <f t="shared" si="34"/>
        <v>99</v>
      </c>
      <c r="P237" t="str">
        <f t="shared" si="35"/>
        <v>.CoolBlack-bg{background-color:#002E63;}</v>
      </c>
    </row>
    <row r="238" spans="2:16" ht="15.75">
      <c r="B238" s="1" t="s">
        <v>665</v>
      </c>
      <c r="C238" t="s">
        <v>666</v>
      </c>
      <c r="D238">
        <v>140.25</v>
      </c>
      <c r="E238">
        <v>145.35</v>
      </c>
      <c r="F238">
        <v>140.25</v>
      </c>
      <c r="G238" t="str">
        <f t="shared" si="27"/>
        <v>CoolGrey</v>
      </c>
      <c r="H238" t="str">
        <f t="shared" si="28"/>
        <v>8C92AC</v>
      </c>
      <c r="I238" t="str">
        <f t="shared" si="29"/>
        <v>8C</v>
      </c>
      <c r="J238" t="str">
        <f t="shared" si="30"/>
        <v>92</v>
      </c>
      <c r="K238" t="str">
        <f t="shared" si="31"/>
        <v>AC</v>
      </c>
      <c r="L238">
        <f t="shared" si="32"/>
        <v>140</v>
      </c>
      <c r="M238">
        <f t="shared" si="33"/>
        <v>146</v>
      </c>
      <c r="N238">
        <f t="shared" si="34"/>
        <v>172</v>
      </c>
      <c r="P238" t="str">
        <f t="shared" si="35"/>
        <v>.CoolGrey-bg{background-color:#8C92AC;}</v>
      </c>
    </row>
    <row r="239" spans="2:16" ht="15.75">
      <c r="B239" s="1" t="s">
        <v>667</v>
      </c>
      <c r="C239" t="s">
        <v>668</v>
      </c>
      <c r="D239">
        <v>183.6</v>
      </c>
      <c r="E239">
        <v>114.75</v>
      </c>
      <c r="F239">
        <v>183.6</v>
      </c>
      <c r="G239" t="str">
        <f t="shared" si="27"/>
        <v>Copper</v>
      </c>
      <c r="H239" t="str">
        <f t="shared" si="28"/>
        <v>B87333</v>
      </c>
      <c r="I239" t="str">
        <f t="shared" si="29"/>
        <v>B8</v>
      </c>
      <c r="J239" t="str">
        <f t="shared" si="30"/>
        <v>73</v>
      </c>
      <c r="K239" t="str">
        <f t="shared" si="31"/>
        <v>33</v>
      </c>
      <c r="L239">
        <f t="shared" si="32"/>
        <v>184</v>
      </c>
      <c r="M239">
        <f t="shared" si="33"/>
        <v>115</v>
      </c>
      <c r="N239">
        <f t="shared" si="34"/>
        <v>51</v>
      </c>
      <c r="P239" t="str">
        <f t="shared" si="35"/>
        <v>.Copper-bg{background-color:#B87333;}</v>
      </c>
    </row>
    <row r="240" spans="2:16" ht="15.75">
      <c r="B240" s="1" t="s">
        <v>669</v>
      </c>
      <c r="C240" t="s">
        <v>670</v>
      </c>
      <c r="D240">
        <v>216.75</v>
      </c>
      <c r="E240">
        <v>137.69999999999999</v>
      </c>
      <c r="F240">
        <v>216.75</v>
      </c>
      <c r="G240" t="str">
        <f t="shared" si="27"/>
        <v>CopperCrayola</v>
      </c>
      <c r="H240" t="str">
        <f t="shared" si="28"/>
        <v>DA8A67</v>
      </c>
      <c r="I240" t="str">
        <f t="shared" si="29"/>
        <v>DA</v>
      </c>
      <c r="J240" t="str">
        <f t="shared" si="30"/>
        <v>8A</v>
      </c>
      <c r="K240" t="str">
        <f t="shared" si="31"/>
        <v>67</v>
      </c>
      <c r="L240">
        <f t="shared" si="32"/>
        <v>218</v>
      </c>
      <c r="M240">
        <f t="shared" si="33"/>
        <v>138</v>
      </c>
      <c r="N240">
        <f t="shared" si="34"/>
        <v>103</v>
      </c>
      <c r="P240" t="str">
        <f t="shared" si="35"/>
        <v>.CopperCrayola-bg{background-color:#DA8A67;}</v>
      </c>
    </row>
    <row r="241" spans="2:16" ht="15.75">
      <c r="B241" s="1" t="s">
        <v>671</v>
      </c>
      <c r="C241" t="s">
        <v>672</v>
      </c>
      <c r="D241">
        <v>173.4</v>
      </c>
      <c r="E241">
        <v>112.2</v>
      </c>
      <c r="F241">
        <v>173.4</v>
      </c>
      <c r="G241" t="str">
        <f t="shared" si="27"/>
        <v>CopperPenny</v>
      </c>
      <c r="H241" t="str">
        <f t="shared" si="28"/>
        <v>AD6F69</v>
      </c>
      <c r="I241" t="str">
        <f t="shared" si="29"/>
        <v>AD</v>
      </c>
      <c r="J241" t="str">
        <f t="shared" si="30"/>
        <v>6F</v>
      </c>
      <c r="K241" t="str">
        <f t="shared" si="31"/>
        <v>69</v>
      </c>
      <c r="L241">
        <f t="shared" si="32"/>
        <v>173</v>
      </c>
      <c r="M241">
        <f t="shared" si="33"/>
        <v>111</v>
      </c>
      <c r="N241">
        <f t="shared" si="34"/>
        <v>105</v>
      </c>
      <c r="P241" t="str">
        <f t="shared" si="35"/>
        <v>.CopperPenny-bg{background-color:#AD6F69;}</v>
      </c>
    </row>
    <row r="242" spans="2:16" ht="15.75">
      <c r="B242" s="1" t="s">
        <v>673</v>
      </c>
      <c r="C242" t="s">
        <v>674</v>
      </c>
      <c r="D242">
        <v>204</v>
      </c>
      <c r="E242">
        <v>109.65</v>
      </c>
      <c r="F242">
        <v>204</v>
      </c>
      <c r="G242" t="str">
        <f t="shared" si="27"/>
        <v>CopperRed</v>
      </c>
      <c r="H242" t="str">
        <f t="shared" si="28"/>
        <v>CB6D51</v>
      </c>
      <c r="I242" t="str">
        <f t="shared" si="29"/>
        <v>CB</v>
      </c>
      <c r="J242" t="str">
        <f t="shared" si="30"/>
        <v>6D</v>
      </c>
      <c r="K242" t="str">
        <f t="shared" si="31"/>
        <v>51</v>
      </c>
      <c r="L242">
        <f t="shared" si="32"/>
        <v>203</v>
      </c>
      <c r="M242">
        <f t="shared" si="33"/>
        <v>109</v>
      </c>
      <c r="N242">
        <f t="shared" si="34"/>
        <v>81</v>
      </c>
      <c r="P242" t="str">
        <f t="shared" si="35"/>
        <v>.CopperRed-bg{background-color:#CB6D51;}</v>
      </c>
    </row>
    <row r="243" spans="2:16" ht="15.75">
      <c r="B243" s="1" t="s">
        <v>675</v>
      </c>
      <c r="C243" t="s">
        <v>676</v>
      </c>
      <c r="D243">
        <v>153</v>
      </c>
      <c r="E243">
        <v>102</v>
      </c>
      <c r="F243">
        <v>153</v>
      </c>
      <c r="G243" t="str">
        <f t="shared" si="27"/>
        <v>CopperRose</v>
      </c>
      <c r="H243" t="str">
        <f t="shared" si="28"/>
        <v>996666</v>
      </c>
      <c r="I243" t="str">
        <f t="shared" si="29"/>
        <v>99</v>
      </c>
      <c r="J243" t="str">
        <f t="shared" si="30"/>
        <v>66</v>
      </c>
      <c r="K243" t="str">
        <f t="shared" si="31"/>
        <v>66</v>
      </c>
      <c r="L243">
        <f t="shared" si="32"/>
        <v>153</v>
      </c>
      <c r="M243">
        <f t="shared" si="33"/>
        <v>102</v>
      </c>
      <c r="N243">
        <f t="shared" si="34"/>
        <v>102</v>
      </c>
      <c r="P243" t="str">
        <f t="shared" si="35"/>
        <v>.CopperRose-bg{background-color:#996666;}</v>
      </c>
    </row>
    <row r="244" spans="2:16" ht="15.75">
      <c r="B244" s="1" t="s">
        <v>677</v>
      </c>
      <c r="C244" t="s">
        <v>678</v>
      </c>
      <c r="D244">
        <v>255</v>
      </c>
      <c r="E244">
        <v>56.1</v>
      </c>
      <c r="F244">
        <v>255</v>
      </c>
      <c r="G244" t="str">
        <f t="shared" si="27"/>
        <v>Coquelicot</v>
      </c>
      <c r="H244" t="str">
        <f t="shared" si="28"/>
        <v>FF3800</v>
      </c>
      <c r="I244" t="str">
        <f t="shared" si="29"/>
        <v>FF</v>
      </c>
      <c r="J244" t="str">
        <f t="shared" si="30"/>
        <v>38</v>
      </c>
      <c r="K244" t="str">
        <f t="shared" si="31"/>
        <v>00</v>
      </c>
      <c r="L244">
        <f t="shared" si="32"/>
        <v>255</v>
      </c>
      <c r="M244">
        <f t="shared" si="33"/>
        <v>56</v>
      </c>
      <c r="N244">
        <f t="shared" si="34"/>
        <v>0</v>
      </c>
      <c r="P244" t="str">
        <f t="shared" si="35"/>
        <v>.Coquelicot-bg{background-color:#FF3800;}</v>
      </c>
    </row>
    <row r="245" spans="2:16" ht="15.75">
      <c r="B245" s="1" t="s">
        <v>679</v>
      </c>
      <c r="C245" t="s">
        <v>680</v>
      </c>
      <c r="D245">
        <v>255</v>
      </c>
      <c r="E245">
        <v>127.5</v>
      </c>
      <c r="F245">
        <v>255</v>
      </c>
      <c r="G245" t="str">
        <f t="shared" si="27"/>
        <v>Coral</v>
      </c>
      <c r="H245" t="str">
        <f t="shared" si="28"/>
        <v>FF7F50</v>
      </c>
      <c r="I245" t="str">
        <f t="shared" si="29"/>
        <v>FF</v>
      </c>
      <c r="J245" t="str">
        <f t="shared" si="30"/>
        <v>7F</v>
      </c>
      <c r="K245" t="str">
        <f t="shared" si="31"/>
        <v>50</v>
      </c>
      <c r="L245">
        <f t="shared" si="32"/>
        <v>255</v>
      </c>
      <c r="M245">
        <f t="shared" si="33"/>
        <v>127</v>
      </c>
      <c r="N245">
        <f t="shared" si="34"/>
        <v>80</v>
      </c>
      <c r="P245" t="str">
        <f t="shared" si="35"/>
        <v>.Coral-bg{background-color:#FF7F50;}</v>
      </c>
    </row>
    <row r="246" spans="2:16" ht="15.75">
      <c r="B246" s="1" t="s">
        <v>681</v>
      </c>
      <c r="C246" t="s">
        <v>662</v>
      </c>
      <c r="D246">
        <v>247.35</v>
      </c>
      <c r="E246">
        <v>130.05000000000001</v>
      </c>
      <c r="F246">
        <v>247.35</v>
      </c>
      <c r="G246" t="str">
        <f t="shared" si="27"/>
        <v>CoralPink</v>
      </c>
      <c r="H246" t="str">
        <f t="shared" si="28"/>
        <v>F88379</v>
      </c>
      <c r="I246" t="str">
        <f t="shared" si="29"/>
        <v>F8</v>
      </c>
      <c r="J246" t="str">
        <f t="shared" si="30"/>
        <v>83</v>
      </c>
      <c r="K246" t="str">
        <f t="shared" si="31"/>
        <v>79</v>
      </c>
      <c r="L246">
        <f t="shared" si="32"/>
        <v>248</v>
      </c>
      <c r="M246">
        <f t="shared" si="33"/>
        <v>131</v>
      </c>
      <c r="N246">
        <f t="shared" si="34"/>
        <v>121</v>
      </c>
      <c r="P246" t="str">
        <f t="shared" si="35"/>
        <v>.CoralPink-bg{background-color:#F88379;}</v>
      </c>
    </row>
    <row r="247" spans="2:16" ht="15.75">
      <c r="B247" s="1" t="s">
        <v>682</v>
      </c>
      <c r="C247" t="s">
        <v>683</v>
      </c>
      <c r="D247">
        <v>255</v>
      </c>
      <c r="E247">
        <v>63.75</v>
      </c>
      <c r="F247">
        <v>255</v>
      </c>
      <c r="G247" t="str">
        <f t="shared" si="27"/>
        <v>CoralRed</v>
      </c>
      <c r="H247" t="str">
        <f t="shared" si="28"/>
        <v>FF4040</v>
      </c>
      <c r="I247" t="str">
        <f t="shared" si="29"/>
        <v>FF</v>
      </c>
      <c r="J247" t="str">
        <f t="shared" si="30"/>
        <v>40</v>
      </c>
      <c r="K247" t="str">
        <f t="shared" si="31"/>
        <v>40</v>
      </c>
      <c r="L247">
        <f t="shared" si="32"/>
        <v>255</v>
      </c>
      <c r="M247">
        <f t="shared" si="33"/>
        <v>64</v>
      </c>
      <c r="N247">
        <f t="shared" si="34"/>
        <v>64</v>
      </c>
      <c r="P247" t="str">
        <f t="shared" si="35"/>
        <v>.CoralRed-bg{background-color:#FF4040;}</v>
      </c>
    </row>
    <row r="248" spans="2:16" ht="15.75">
      <c r="B248" s="1" t="s">
        <v>684</v>
      </c>
      <c r="C248" t="s">
        <v>685</v>
      </c>
      <c r="D248">
        <v>137.69999999999999</v>
      </c>
      <c r="E248">
        <v>63.75</v>
      </c>
      <c r="F248">
        <v>137.69999999999999</v>
      </c>
      <c r="G248" t="str">
        <f t="shared" si="27"/>
        <v>Cordovan</v>
      </c>
      <c r="H248" t="str">
        <f t="shared" si="28"/>
        <v>893F45</v>
      </c>
      <c r="I248" t="str">
        <f t="shared" si="29"/>
        <v>89</v>
      </c>
      <c r="J248" t="str">
        <f t="shared" si="30"/>
        <v>3F</v>
      </c>
      <c r="K248" t="str">
        <f t="shared" si="31"/>
        <v>45</v>
      </c>
      <c r="L248">
        <f t="shared" si="32"/>
        <v>137</v>
      </c>
      <c r="M248">
        <f t="shared" si="33"/>
        <v>63</v>
      </c>
      <c r="N248">
        <f t="shared" si="34"/>
        <v>69</v>
      </c>
      <c r="P248" t="str">
        <f t="shared" si="35"/>
        <v>.Cordovan-bg{background-color:#893F45;}</v>
      </c>
    </row>
    <row r="249" spans="2:16" ht="15.75">
      <c r="B249" s="1" t="s">
        <v>686</v>
      </c>
      <c r="C249" t="s">
        <v>687</v>
      </c>
      <c r="D249">
        <v>249.9</v>
      </c>
      <c r="E249">
        <v>237.15</v>
      </c>
      <c r="F249">
        <v>249.9</v>
      </c>
      <c r="G249" t="str">
        <f t="shared" si="27"/>
        <v>Corn</v>
      </c>
      <c r="H249" t="str">
        <f t="shared" si="28"/>
        <v>FBEC5D</v>
      </c>
      <c r="I249" t="str">
        <f t="shared" si="29"/>
        <v>FB</v>
      </c>
      <c r="J249" t="str">
        <f t="shared" si="30"/>
        <v>EC</v>
      </c>
      <c r="K249" t="str">
        <f t="shared" si="31"/>
        <v>5D</v>
      </c>
      <c r="L249">
        <f t="shared" si="32"/>
        <v>251</v>
      </c>
      <c r="M249">
        <f t="shared" si="33"/>
        <v>236</v>
      </c>
      <c r="N249">
        <f t="shared" si="34"/>
        <v>93</v>
      </c>
      <c r="P249" t="str">
        <f t="shared" si="35"/>
        <v>.Corn-bg{background-color:#FBEC5D;}</v>
      </c>
    </row>
    <row r="250" spans="2:16" ht="15.75">
      <c r="B250" s="1" t="s">
        <v>688</v>
      </c>
      <c r="C250" t="s">
        <v>564</v>
      </c>
      <c r="D250">
        <v>178.5</v>
      </c>
      <c r="E250">
        <v>28.05</v>
      </c>
      <c r="F250">
        <v>178.5</v>
      </c>
      <c r="G250" t="str">
        <f t="shared" si="27"/>
        <v>CornellRed</v>
      </c>
      <c r="H250" t="str">
        <f t="shared" si="28"/>
        <v>B31B1B</v>
      </c>
      <c r="I250" t="str">
        <f t="shared" si="29"/>
        <v>B3</v>
      </c>
      <c r="J250" t="str">
        <f t="shared" si="30"/>
        <v>1B</v>
      </c>
      <c r="K250" t="str">
        <f t="shared" si="31"/>
        <v>1B</v>
      </c>
      <c r="L250">
        <f t="shared" si="32"/>
        <v>179</v>
      </c>
      <c r="M250">
        <f t="shared" si="33"/>
        <v>27</v>
      </c>
      <c r="N250">
        <f t="shared" si="34"/>
        <v>27</v>
      </c>
      <c r="P250" t="str">
        <f t="shared" si="35"/>
        <v>.CornellRed-bg{background-color:#B31B1B;}</v>
      </c>
    </row>
    <row r="251" spans="2:16" ht="15.75">
      <c r="B251" s="1" t="s">
        <v>689</v>
      </c>
      <c r="C251" t="s">
        <v>690</v>
      </c>
      <c r="D251">
        <v>99.45</v>
      </c>
      <c r="E251">
        <v>147.9</v>
      </c>
      <c r="F251">
        <v>99.45</v>
      </c>
      <c r="G251" t="str">
        <f t="shared" si="27"/>
        <v>CornflowerBlue</v>
      </c>
      <c r="H251" t="str">
        <f t="shared" si="28"/>
        <v>6495ED</v>
      </c>
      <c r="I251" t="str">
        <f t="shared" si="29"/>
        <v>64</v>
      </c>
      <c r="J251" t="str">
        <f t="shared" si="30"/>
        <v>95</v>
      </c>
      <c r="K251" t="str">
        <f t="shared" si="31"/>
        <v>ED</v>
      </c>
      <c r="L251">
        <f t="shared" si="32"/>
        <v>100</v>
      </c>
      <c r="M251">
        <f t="shared" si="33"/>
        <v>149</v>
      </c>
      <c r="N251">
        <f t="shared" si="34"/>
        <v>237</v>
      </c>
      <c r="P251" t="str">
        <f t="shared" si="35"/>
        <v>.CornflowerBlue-bg{background-color:#6495ED;}</v>
      </c>
    </row>
    <row r="252" spans="2:16" ht="15.75">
      <c r="B252" s="1" t="s">
        <v>691</v>
      </c>
      <c r="C252" t="s">
        <v>692</v>
      </c>
      <c r="D252">
        <v>255</v>
      </c>
      <c r="E252">
        <v>247.35</v>
      </c>
      <c r="F252">
        <v>255</v>
      </c>
      <c r="G252" t="str">
        <f t="shared" si="27"/>
        <v>Cornsilk</v>
      </c>
      <c r="H252" t="str">
        <f t="shared" si="28"/>
        <v>FFF8DC</v>
      </c>
      <c r="I252" t="str">
        <f t="shared" si="29"/>
        <v>FF</v>
      </c>
      <c r="J252" t="str">
        <f t="shared" si="30"/>
        <v>F8</v>
      </c>
      <c r="K252" t="str">
        <f t="shared" si="31"/>
        <v>DC</v>
      </c>
      <c r="L252">
        <f t="shared" si="32"/>
        <v>255</v>
      </c>
      <c r="M252">
        <f t="shared" si="33"/>
        <v>248</v>
      </c>
      <c r="N252">
        <f t="shared" si="34"/>
        <v>220</v>
      </c>
      <c r="P252" t="str">
        <f t="shared" si="35"/>
        <v>.Cornsilk-bg{background-color:#FFF8DC;}</v>
      </c>
    </row>
    <row r="253" spans="2:16" ht="15.75">
      <c r="B253" s="1" t="s">
        <v>693</v>
      </c>
      <c r="C253" t="s">
        <v>694</v>
      </c>
      <c r="D253">
        <v>45.9</v>
      </c>
      <c r="E253">
        <v>45.9</v>
      </c>
      <c r="F253">
        <v>45.9</v>
      </c>
      <c r="G253" t="str">
        <f t="shared" si="27"/>
        <v>CosmicCobalt</v>
      </c>
      <c r="H253" t="str">
        <f t="shared" si="28"/>
        <v>2E2D88</v>
      </c>
      <c r="I253" t="str">
        <f t="shared" si="29"/>
        <v>2E</v>
      </c>
      <c r="J253" t="str">
        <f t="shared" si="30"/>
        <v>2D</v>
      </c>
      <c r="K253" t="str">
        <f t="shared" si="31"/>
        <v>88</v>
      </c>
      <c r="L253">
        <f t="shared" si="32"/>
        <v>46</v>
      </c>
      <c r="M253">
        <f t="shared" si="33"/>
        <v>45</v>
      </c>
      <c r="N253">
        <f t="shared" si="34"/>
        <v>136</v>
      </c>
      <c r="P253" t="str">
        <f t="shared" si="35"/>
        <v>.CosmicCobalt-bg{background-color:#2E2D88;}</v>
      </c>
    </row>
    <row r="254" spans="2:16" ht="15.75">
      <c r="B254" s="1" t="s">
        <v>695</v>
      </c>
      <c r="C254" t="s">
        <v>696</v>
      </c>
      <c r="D254">
        <v>255</v>
      </c>
      <c r="E254">
        <v>247.35</v>
      </c>
      <c r="F254">
        <v>255</v>
      </c>
      <c r="G254" t="str">
        <f t="shared" si="27"/>
        <v>CosmicLatte</v>
      </c>
      <c r="H254" t="str">
        <f t="shared" si="28"/>
        <v>FFF8E7</v>
      </c>
      <c r="I254" t="str">
        <f t="shared" si="29"/>
        <v>FF</v>
      </c>
      <c r="J254" t="str">
        <f t="shared" si="30"/>
        <v>F8</v>
      </c>
      <c r="K254" t="str">
        <f t="shared" si="31"/>
        <v>E7</v>
      </c>
      <c r="L254">
        <f t="shared" si="32"/>
        <v>255</v>
      </c>
      <c r="M254">
        <f t="shared" si="33"/>
        <v>248</v>
      </c>
      <c r="N254">
        <f t="shared" si="34"/>
        <v>231</v>
      </c>
      <c r="P254" t="str">
        <f t="shared" si="35"/>
        <v>.CosmicLatte-bg{background-color:#FFF8E7;}</v>
      </c>
    </row>
    <row r="255" spans="2:16" ht="15.75">
      <c r="B255" s="1" t="s">
        <v>697</v>
      </c>
      <c r="C255" t="s">
        <v>698</v>
      </c>
      <c r="D255">
        <v>130.05000000000001</v>
      </c>
      <c r="E255">
        <v>96.9</v>
      </c>
      <c r="F255">
        <v>130.05000000000001</v>
      </c>
      <c r="G255" t="str">
        <f t="shared" si="27"/>
        <v>CoyoteBrown</v>
      </c>
      <c r="H255" t="str">
        <f t="shared" si="28"/>
        <v>81613e</v>
      </c>
      <c r="I255" t="str">
        <f t="shared" si="29"/>
        <v>81</v>
      </c>
      <c r="J255" t="str">
        <f t="shared" si="30"/>
        <v>61</v>
      </c>
      <c r="K255" t="str">
        <f t="shared" si="31"/>
        <v>3e</v>
      </c>
      <c r="L255">
        <f t="shared" si="32"/>
        <v>129</v>
      </c>
      <c r="M255">
        <f t="shared" si="33"/>
        <v>97</v>
      </c>
      <c r="N255">
        <f t="shared" si="34"/>
        <v>62</v>
      </c>
      <c r="P255" t="str">
        <f t="shared" si="35"/>
        <v>.CoyoteBrown-bg{background-color:#81613e;}</v>
      </c>
    </row>
    <row r="256" spans="2:16" ht="15.75">
      <c r="B256" s="1" t="s">
        <v>699</v>
      </c>
      <c r="C256" t="s">
        <v>700</v>
      </c>
      <c r="D256">
        <v>255</v>
      </c>
      <c r="E256">
        <v>188.7</v>
      </c>
      <c r="F256">
        <v>255</v>
      </c>
      <c r="G256" t="str">
        <f t="shared" si="27"/>
        <v>CottonCandy</v>
      </c>
      <c r="H256" t="str">
        <f t="shared" si="28"/>
        <v>FFBCD9</v>
      </c>
      <c r="I256" t="str">
        <f t="shared" si="29"/>
        <v>FF</v>
      </c>
      <c r="J256" t="str">
        <f t="shared" si="30"/>
        <v>BC</v>
      </c>
      <c r="K256" t="str">
        <f t="shared" si="31"/>
        <v>D9</v>
      </c>
      <c r="L256">
        <f t="shared" si="32"/>
        <v>255</v>
      </c>
      <c r="M256">
        <f t="shared" si="33"/>
        <v>188</v>
      </c>
      <c r="N256">
        <f t="shared" si="34"/>
        <v>217</v>
      </c>
      <c r="P256" t="str">
        <f t="shared" si="35"/>
        <v>.CottonCandy-bg{background-color:#FFBCD9;}</v>
      </c>
    </row>
    <row r="257" spans="2:16" ht="15.75">
      <c r="B257" s="1" t="s">
        <v>701</v>
      </c>
      <c r="C257" t="s">
        <v>702</v>
      </c>
      <c r="D257">
        <v>255</v>
      </c>
      <c r="E257">
        <v>252.45</v>
      </c>
      <c r="F257">
        <v>255</v>
      </c>
      <c r="G257" t="str">
        <f t="shared" si="27"/>
        <v>Cream</v>
      </c>
      <c r="H257" t="str">
        <f t="shared" si="28"/>
        <v>FFFDD0</v>
      </c>
      <c r="I257" t="str">
        <f t="shared" si="29"/>
        <v>FF</v>
      </c>
      <c r="J257" t="str">
        <f t="shared" si="30"/>
        <v>FD</v>
      </c>
      <c r="K257" t="str">
        <f t="shared" si="31"/>
        <v>D0</v>
      </c>
      <c r="L257">
        <f t="shared" si="32"/>
        <v>255</v>
      </c>
      <c r="M257">
        <f t="shared" si="33"/>
        <v>253</v>
      </c>
      <c r="N257">
        <f t="shared" si="34"/>
        <v>208</v>
      </c>
      <c r="P257" t="str">
        <f t="shared" si="35"/>
        <v>.Cream-bg{background-color:#FFFDD0;}</v>
      </c>
    </row>
    <row r="258" spans="2:16" ht="15.75">
      <c r="B258" s="1" t="s">
        <v>703</v>
      </c>
      <c r="C258" t="s">
        <v>704</v>
      </c>
      <c r="D258">
        <v>219.3</v>
      </c>
      <c r="E258">
        <v>20.399999999999999</v>
      </c>
      <c r="F258">
        <v>219.3</v>
      </c>
      <c r="G258" t="str">
        <f t="shared" si="27"/>
        <v>Crimson</v>
      </c>
      <c r="H258" t="str">
        <f t="shared" si="28"/>
        <v>DC143C</v>
      </c>
      <c r="I258" t="str">
        <f t="shared" si="29"/>
        <v>DC</v>
      </c>
      <c r="J258" t="str">
        <f t="shared" si="30"/>
        <v>14</v>
      </c>
      <c r="K258" t="str">
        <f t="shared" si="31"/>
        <v>3C</v>
      </c>
      <c r="L258">
        <f t="shared" si="32"/>
        <v>220</v>
      </c>
      <c r="M258">
        <f t="shared" si="33"/>
        <v>20</v>
      </c>
      <c r="N258">
        <f t="shared" si="34"/>
        <v>60</v>
      </c>
      <c r="P258" t="str">
        <f t="shared" si="35"/>
        <v>.Crimson-bg{background-color:#DC143C;}</v>
      </c>
    </row>
    <row r="259" spans="2:16" ht="15.75">
      <c r="B259" s="1" t="s">
        <v>705</v>
      </c>
      <c r="C259" t="s">
        <v>706</v>
      </c>
      <c r="D259">
        <v>191.25</v>
      </c>
      <c r="E259">
        <v>0</v>
      </c>
      <c r="F259">
        <v>191.25</v>
      </c>
      <c r="G259" t="str">
        <f t="shared" si="27"/>
        <v>CrimsonGlory</v>
      </c>
      <c r="H259" t="str">
        <f t="shared" si="28"/>
        <v>BE0032</v>
      </c>
      <c r="I259" t="str">
        <f t="shared" si="29"/>
        <v>BE</v>
      </c>
      <c r="J259" t="str">
        <f t="shared" si="30"/>
        <v>00</v>
      </c>
      <c r="K259" t="str">
        <f t="shared" si="31"/>
        <v>32</v>
      </c>
      <c r="L259">
        <f t="shared" si="32"/>
        <v>190</v>
      </c>
      <c r="M259">
        <f t="shared" si="33"/>
        <v>0</v>
      </c>
      <c r="N259">
        <f t="shared" si="34"/>
        <v>50</v>
      </c>
      <c r="P259" t="str">
        <f t="shared" si="35"/>
        <v>.CrimsonGlory-bg{background-color:#BE0032;}</v>
      </c>
    </row>
    <row r="260" spans="2:16" ht="15.75">
      <c r="B260" s="1" t="s">
        <v>707</v>
      </c>
      <c r="C260" t="s">
        <v>708</v>
      </c>
      <c r="D260">
        <v>153</v>
      </c>
      <c r="E260">
        <v>0</v>
      </c>
      <c r="F260">
        <v>153</v>
      </c>
      <c r="G260" t="str">
        <f t="shared" ref="G260:G323" si="36">SUBSTITUTE(PROPER(AlphaNumericOnly(B260))," ","")</f>
        <v>CrimsonRed</v>
      </c>
      <c r="H260" t="str">
        <f t="shared" ref="H260:H323" si="37">RIGHT(C260,6)</f>
        <v>990000</v>
      </c>
      <c r="I260" t="str">
        <f t="shared" ref="I260:I323" si="38">MID($H260,1,2)</f>
        <v>99</v>
      </c>
      <c r="J260" t="str">
        <f t="shared" ref="J260:J323" si="39">MID($H260,3,2)</f>
        <v>00</v>
      </c>
      <c r="K260" t="str">
        <f t="shared" ref="K260:K323" si="40">MID($H260,5,2)</f>
        <v>00</v>
      </c>
      <c r="L260">
        <f t="shared" ref="L260:L323" si="41">HEX2DEC(I260)</f>
        <v>153</v>
      </c>
      <c r="M260">
        <f t="shared" ref="M260:M323" si="42">HEX2DEC(J260)</f>
        <v>0</v>
      </c>
      <c r="N260">
        <f t="shared" ref="N260:N323" si="43">HEX2DEC(K260)</f>
        <v>0</v>
      </c>
      <c r="P260" t="str">
        <f t="shared" ref="P260:P323" si="44">"."&amp;G260&amp;$P$1&amp;"{"&amp;$P$2&amp;":#"&amp;H260&amp;";}"</f>
        <v>.CrimsonRed-bg{background-color:#990000;}</v>
      </c>
    </row>
    <row r="261" spans="2:16" ht="15.75">
      <c r="B261" s="1" t="s">
        <v>709</v>
      </c>
      <c r="C261" t="s">
        <v>710</v>
      </c>
      <c r="D261">
        <v>244.8</v>
      </c>
      <c r="E261">
        <v>244.8</v>
      </c>
      <c r="F261">
        <v>244.8</v>
      </c>
      <c r="G261" t="str">
        <f t="shared" si="36"/>
        <v>Cultured</v>
      </c>
      <c r="H261" t="str">
        <f t="shared" si="37"/>
        <v>F5F5F5</v>
      </c>
      <c r="I261" t="str">
        <f t="shared" si="38"/>
        <v>F5</v>
      </c>
      <c r="J261" t="str">
        <f t="shared" si="39"/>
        <v>F5</v>
      </c>
      <c r="K261" t="str">
        <f t="shared" si="40"/>
        <v>F5</v>
      </c>
      <c r="L261">
        <f t="shared" si="41"/>
        <v>245</v>
      </c>
      <c r="M261">
        <f t="shared" si="42"/>
        <v>245</v>
      </c>
      <c r="N261">
        <f t="shared" si="43"/>
        <v>245</v>
      </c>
      <c r="P261" t="str">
        <f t="shared" si="44"/>
        <v>.Cultured-bg{background-color:#F5F5F5;}</v>
      </c>
    </row>
    <row r="262" spans="2:16" ht="15.75">
      <c r="B262" s="1" t="s">
        <v>711</v>
      </c>
      <c r="C262" t="s">
        <v>272</v>
      </c>
      <c r="D262">
        <v>0</v>
      </c>
      <c r="E262">
        <v>255</v>
      </c>
      <c r="F262">
        <v>0</v>
      </c>
      <c r="G262" t="str">
        <f t="shared" si="36"/>
        <v>Cyan</v>
      </c>
      <c r="H262" t="str">
        <f t="shared" si="37"/>
        <v>00FFFF</v>
      </c>
      <c r="I262" t="str">
        <f t="shared" si="38"/>
        <v>00</v>
      </c>
      <c r="J262" t="str">
        <f t="shared" si="39"/>
        <v>FF</v>
      </c>
      <c r="K262" t="str">
        <f t="shared" si="40"/>
        <v>FF</v>
      </c>
      <c r="L262">
        <f t="shared" si="41"/>
        <v>0</v>
      </c>
      <c r="M262">
        <f t="shared" si="42"/>
        <v>255</v>
      </c>
      <c r="N262">
        <f t="shared" si="43"/>
        <v>255</v>
      </c>
      <c r="P262" t="str">
        <f t="shared" si="44"/>
        <v>.Cyan-bg{background-color:#00FFFF;}</v>
      </c>
    </row>
    <row r="263" spans="2:16" ht="15.75">
      <c r="B263" s="1" t="s">
        <v>712</v>
      </c>
      <c r="C263" t="s">
        <v>713</v>
      </c>
      <c r="D263">
        <v>79.05</v>
      </c>
      <c r="E263">
        <v>130.05000000000001</v>
      </c>
      <c r="F263">
        <v>79.05</v>
      </c>
      <c r="G263" t="str">
        <f t="shared" si="36"/>
        <v>CyanAzure</v>
      </c>
      <c r="H263" t="str">
        <f t="shared" si="37"/>
        <v>4E82b4</v>
      </c>
      <c r="I263" t="str">
        <f t="shared" si="38"/>
        <v>4E</v>
      </c>
      <c r="J263" t="str">
        <f t="shared" si="39"/>
        <v>82</v>
      </c>
      <c r="K263" t="str">
        <f t="shared" si="40"/>
        <v>b4</v>
      </c>
      <c r="L263">
        <f t="shared" si="41"/>
        <v>78</v>
      </c>
      <c r="M263">
        <f t="shared" si="42"/>
        <v>130</v>
      </c>
      <c r="N263">
        <f t="shared" si="43"/>
        <v>180</v>
      </c>
      <c r="P263" t="str">
        <f t="shared" si="44"/>
        <v>.CyanAzure-bg{background-color:#4E82b4;}</v>
      </c>
    </row>
    <row r="264" spans="2:16" ht="15.75">
      <c r="B264" s="1" t="s">
        <v>714</v>
      </c>
      <c r="C264" t="s">
        <v>715</v>
      </c>
      <c r="D264">
        <v>68.849999999999994</v>
      </c>
      <c r="E264">
        <v>130.05000000000001</v>
      </c>
      <c r="F264">
        <v>68.849999999999994</v>
      </c>
      <c r="G264" t="str">
        <f t="shared" si="36"/>
        <v>CyanblueAzure</v>
      </c>
      <c r="H264" t="str">
        <f t="shared" si="37"/>
        <v>4682BF</v>
      </c>
      <c r="I264" t="str">
        <f t="shared" si="38"/>
        <v>46</v>
      </c>
      <c r="J264" t="str">
        <f t="shared" si="39"/>
        <v>82</v>
      </c>
      <c r="K264" t="str">
        <f t="shared" si="40"/>
        <v>BF</v>
      </c>
      <c r="L264">
        <f t="shared" si="41"/>
        <v>70</v>
      </c>
      <c r="M264">
        <f t="shared" si="42"/>
        <v>130</v>
      </c>
      <c r="N264">
        <f t="shared" si="43"/>
        <v>191</v>
      </c>
      <c r="P264" t="str">
        <f t="shared" si="44"/>
        <v>.CyanblueAzure-bg{background-color:#4682BF;}</v>
      </c>
    </row>
    <row r="265" spans="2:16" ht="15.75">
      <c r="B265" s="1" t="s">
        <v>716</v>
      </c>
      <c r="C265" t="s">
        <v>717</v>
      </c>
      <c r="D265">
        <v>40.799999999999997</v>
      </c>
      <c r="E265">
        <v>89.25</v>
      </c>
      <c r="F265">
        <v>40.799999999999997</v>
      </c>
      <c r="G265" t="str">
        <f t="shared" si="36"/>
        <v>CyanCobaltBlue</v>
      </c>
      <c r="H265" t="str">
        <f t="shared" si="37"/>
        <v>28589C</v>
      </c>
      <c r="I265" t="str">
        <f t="shared" si="38"/>
        <v>28</v>
      </c>
      <c r="J265" t="str">
        <f t="shared" si="39"/>
        <v>58</v>
      </c>
      <c r="K265" t="str">
        <f t="shared" si="40"/>
        <v>9C</v>
      </c>
      <c r="L265">
        <f t="shared" si="41"/>
        <v>40</v>
      </c>
      <c r="M265">
        <f t="shared" si="42"/>
        <v>88</v>
      </c>
      <c r="N265">
        <f t="shared" si="43"/>
        <v>156</v>
      </c>
      <c r="P265" t="str">
        <f t="shared" si="44"/>
        <v>.CyanCobaltBlue-bg{background-color:#28589C;}</v>
      </c>
    </row>
    <row r="266" spans="2:16" ht="15.75">
      <c r="B266" s="1" t="s">
        <v>718</v>
      </c>
      <c r="C266" t="s">
        <v>719</v>
      </c>
      <c r="D266">
        <v>22.95</v>
      </c>
      <c r="E266">
        <v>140.25</v>
      </c>
      <c r="F266">
        <v>22.95</v>
      </c>
      <c r="G266" t="str">
        <f t="shared" si="36"/>
        <v>CyanCornflowerBlue</v>
      </c>
      <c r="H266" t="str">
        <f t="shared" si="37"/>
        <v>188BC2</v>
      </c>
      <c r="I266" t="str">
        <f t="shared" si="38"/>
        <v>18</v>
      </c>
      <c r="J266" t="str">
        <f t="shared" si="39"/>
        <v>8B</v>
      </c>
      <c r="K266" t="str">
        <f t="shared" si="40"/>
        <v>C2</v>
      </c>
      <c r="L266">
        <f t="shared" si="41"/>
        <v>24</v>
      </c>
      <c r="M266">
        <f t="shared" si="42"/>
        <v>139</v>
      </c>
      <c r="N266">
        <f t="shared" si="43"/>
        <v>194</v>
      </c>
      <c r="P266" t="str">
        <f t="shared" si="44"/>
        <v>.CyanCornflowerBlue-bg{background-color:#188BC2;}</v>
      </c>
    </row>
    <row r="267" spans="2:16" ht="15.75">
      <c r="B267" s="1" t="s">
        <v>720</v>
      </c>
      <c r="C267" t="s">
        <v>721</v>
      </c>
      <c r="D267">
        <v>0</v>
      </c>
      <c r="E267">
        <v>183.6</v>
      </c>
      <c r="F267">
        <v>0</v>
      </c>
      <c r="G267" t="str">
        <f t="shared" si="36"/>
        <v>CyanProcess</v>
      </c>
      <c r="H267" t="str">
        <f t="shared" si="37"/>
        <v>00B7EB</v>
      </c>
      <c r="I267" t="str">
        <f t="shared" si="38"/>
        <v>00</v>
      </c>
      <c r="J267" t="str">
        <f t="shared" si="39"/>
        <v>B7</v>
      </c>
      <c r="K267" t="str">
        <f t="shared" si="40"/>
        <v>EB</v>
      </c>
      <c r="L267">
        <f t="shared" si="41"/>
        <v>0</v>
      </c>
      <c r="M267">
        <f t="shared" si="42"/>
        <v>183</v>
      </c>
      <c r="N267">
        <f t="shared" si="43"/>
        <v>235</v>
      </c>
      <c r="P267" t="str">
        <f t="shared" si="44"/>
        <v>.CyanProcess-bg{background-color:#00B7EB;}</v>
      </c>
    </row>
    <row r="268" spans="2:16" ht="15.75">
      <c r="B268" s="1" t="s">
        <v>722</v>
      </c>
      <c r="C268" t="s">
        <v>723</v>
      </c>
      <c r="D268">
        <v>89.25</v>
      </c>
      <c r="E268">
        <v>66.3</v>
      </c>
      <c r="F268">
        <v>89.25</v>
      </c>
      <c r="G268" t="str">
        <f t="shared" si="36"/>
        <v>CyberGrape</v>
      </c>
      <c r="H268" t="str">
        <f t="shared" si="37"/>
        <v>58427C</v>
      </c>
      <c r="I268" t="str">
        <f t="shared" si="38"/>
        <v>58</v>
      </c>
      <c r="J268" t="str">
        <f t="shared" si="39"/>
        <v>42</v>
      </c>
      <c r="K268" t="str">
        <f t="shared" si="40"/>
        <v>7C</v>
      </c>
      <c r="L268">
        <f t="shared" si="41"/>
        <v>88</v>
      </c>
      <c r="M268">
        <f t="shared" si="42"/>
        <v>66</v>
      </c>
      <c r="N268">
        <f t="shared" si="43"/>
        <v>124</v>
      </c>
      <c r="P268" t="str">
        <f t="shared" si="44"/>
        <v>.CyberGrape-bg{background-color:#58427C;}</v>
      </c>
    </row>
    <row r="269" spans="2:16" ht="15.75">
      <c r="B269" s="1" t="s">
        <v>724</v>
      </c>
      <c r="C269" t="s">
        <v>725</v>
      </c>
      <c r="D269">
        <v>255</v>
      </c>
      <c r="E269">
        <v>211.65</v>
      </c>
      <c r="F269">
        <v>255</v>
      </c>
      <c r="G269" t="str">
        <f t="shared" si="36"/>
        <v>CyberYellow</v>
      </c>
      <c r="H269" t="str">
        <f t="shared" si="37"/>
        <v>FFD300</v>
      </c>
      <c r="I269" t="str">
        <f t="shared" si="38"/>
        <v>FF</v>
      </c>
      <c r="J269" t="str">
        <f t="shared" si="39"/>
        <v>D3</v>
      </c>
      <c r="K269" t="str">
        <f t="shared" si="40"/>
        <v>00</v>
      </c>
      <c r="L269">
        <f t="shared" si="41"/>
        <v>255</v>
      </c>
      <c r="M269">
        <f t="shared" si="42"/>
        <v>211</v>
      </c>
      <c r="N269">
        <f t="shared" si="43"/>
        <v>0</v>
      </c>
      <c r="P269" t="str">
        <f t="shared" si="44"/>
        <v>.CyberYellow-bg{background-color:#FFD300;}</v>
      </c>
    </row>
    <row r="270" spans="2:16" ht="15.75">
      <c r="B270" s="1" t="s">
        <v>726</v>
      </c>
      <c r="C270" t="s">
        <v>727</v>
      </c>
      <c r="D270">
        <v>244.8</v>
      </c>
      <c r="E270">
        <v>112.2</v>
      </c>
      <c r="F270">
        <v>244.8</v>
      </c>
      <c r="G270" t="str">
        <f t="shared" si="36"/>
        <v>Cyclamen</v>
      </c>
      <c r="H270" t="str">
        <f t="shared" si="37"/>
        <v>F56FA1</v>
      </c>
      <c r="I270" t="str">
        <f t="shared" si="38"/>
        <v>F5</v>
      </c>
      <c r="J270" t="str">
        <f t="shared" si="39"/>
        <v>6F</v>
      </c>
      <c r="K270" t="str">
        <f t="shared" si="40"/>
        <v>A1</v>
      </c>
      <c r="L270">
        <f t="shared" si="41"/>
        <v>245</v>
      </c>
      <c r="M270">
        <f t="shared" si="42"/>
        <v>111</v>
      </c>
      <c r="N270">
        <f t="shared" si="43"/>
        <v>161</v>
      </c>
      <c r="P270" t="str">
        <f t="shared" si="44"/>
        <v>.Cyclamen-bg{background-color:#F56FA1;}</v>
      </c>
    </row>
    <row r="271" spans="2:16" ht="15.75">
      <c r="B271" s="1" t="s">
        <v>728</v>
      </c>
      <c r="C271" t="s">
        <v>729</v>
      </c>
      <c r="D271">
        <v>255</v>
      </c>
      <c r="E271">
        <v>255</v>
      </c>
      <c r="F271">
        <v>255</v>
      </c>
      <c r="G271" t="str">
        <f t="shared" si="36"/>
        <v>Daffodil</v>
      </c>
      <c r="H271" t="str">
        <f t="shared" si="37"/>
        <v>FFFF31</v>
      </c>
      <c r="I271" t="str">
        <f t="shared" si="38"/>
        <v>FF</v>
      </c>
      <c r="J271" t="str">
        <f t="shared" si="39"/>
        <v>FF</v>
      </c>
      <c r="K271" t="str">
        <f t="shared" si="40"/>
        <v>31</v>
      </c>
      <c r="L271">
        <f t="shared" si="41"/>
        <v>255</v>
      </c>
      <c r="M271">
        <f t="shared" si="42"/>
        <v>255</v>
      </c>
      <c r="N271">
        <f t="shared" si="43"/>
        <v>49</v>
      </c>
      <c r="P271" t="str">
        <f t="shared" si="44"/>
        <v>.Daffodil-bg{background-color:#FFFF31;}</v>
      </c>
    </row>
    <row r="272" spans="2:16" ht="15.75">
      <c r="B272" s="1" t="s">
        <v>730</v>
      </c>
      <c r="C272" t="s">
        <v>731</v>
      </c>
      <c r="D272">
        <v>239.7</v>
      </c>
      <c r="E272">
        <v>224.4</v>
      </c>
      <c r="F272">
        <v>239.7</v>
      </c>
      <c r="G272" t="str">
        <f t="shared" si="36"/>
        <v>Dandelion</v>
      </c>
      <c r="H272" t="str">
        <f t="shared" si="37"/>
        <v>F0E130</v>
      </c>
      <c r="I272" t="str">
        <f t="shared" si="38"/>
        <v>F0</v>
      </c>
      <c r="J272" t="str">
        <f t="shared" si="39"/>
        <v>E1</v>
      </c>
      <c r="K272" t="str">
        <f t="shared" si="40"/>
        <v>30</v>
      </c>
      <c r="L272">
        <f t="shared" si="41"/>
        <v>240</v>
      </c>
      <c r="M272">
        <f t="shared" si="42"/>
        <v>225</v>
      </c>
      <c r="N272">
        <f t="shared" si="43"/>
        <v>48</v>
      </c>
      <c r="P272" t="str">
        <f t="shared" si="44"/>
        <v>.Dandelion-bg{background-color:#F0E130;}</v>
      </c>
    </row>
    <row r="273" spans="2:16" ht="15.75">
      <c r="B273" s="1" t="s">
        <v>732</v>
      </c>
      <c r="C273" t="s">
        <v>733</v>
      </c>
      <c r="D273">
        <v>0</v>
      </c>
      <c r="E273">
        <v>0</v>
      </c>
      <c r="F273">
        <v>0</v>
      </c>
      <c r="G273" t="str">
        <f t="shared" si="36"/>
        <v>DarkBlue</v>
      </c>
      <c r="H273" t="str">
        <f t="shared" si="37"/>
        <v>00008B</v>
      </c>
      <c r="I273" t="str">
        <f t="shared" si="38"/>
        <v>00</v>
      </c>
      <c r="J273" t="str">
        <f t="shared" si="39"/>
        <v>00</v>
      </c>
      <c r="K273" t="str">
        <f t="shared" si="40"/>
        <v>8B</v>
      </c>
      <c r="L273">
        <f t="shared" si="41"/>
        <v>0</v>
      </c>
      <c r="M273">
        <f t="shared" si="42"/>
        <v>0</v>
      </c>
      <c r="N273">
        <f t="shared" si="43"/>
        <v>139</v>
      </c>
      <c r="P273" t="str">
        <f t="shared" si="44"/>
        <v>.DarkBlue-bg{background-color:#00008B;}</v>
      </c>
    </row>
    <row r="274" spans="2:16" ht="15.75">
      <c r="B274" s="1" t="s">
        <v>734</v>
      </c>
      <c r="C274" t="s">
        <v>735</v>
      </c>
      <c r="D274">
        <v>102</v>
      </c>
      <c r="E274">
        <v>102</v>
      </c>
      <c r="F274">
        <v>102</v>
      </c>
      <c r="G274" t="str">
        <f t="shared" si="36"/>
        <v>DarkBluegray</v>
      </c>
      <c r="H274" t="str">
        <f t="shared" si="37"/>
        <v>666699</v>
      </c>
      <c r="I274" t="str">
        <f t="shared" si="38"/>
        <v>66</v>
      </c>
      <c r="J274" t="str">
        <f t="shared" si="39"/>
        <v>66</v>
      </c>
      <c r="K274" t="str">
        <f t="shared" si="40"/>
        <v>99</v>
      </c>
      <c r="L274">
        <f t="shared" si="41"/>
        <v>102</v>
      </c>
      <c r="M274">
        <f t="shared" si="42"/>
        <v>102</v>
      </c>
      <c r="N274">
        <f t="shared" si="43"/>
        <v>153</v>
      </c>
      <c r="P274" t="str">
        <f t="shared" si="44"/>
        <v>.DarkBluegray-bg{background-color:#666699;}</v>
      </c>
    </row>
    <row r="275" spans="2:16" ht="15.75">
      <c r="B275" s="1" t="s">
        <v>736</v>
      </c>
      <c r="C275" t="s">
        <v>737</v>
      </c>
      <c r="D275">
        <v>102</v>
      </c>
      <c r="E275">
        <v>66.3</v>
      </c>
      <c r="F275">
        <v>102</v>
      </c>
      <c r="G275" t="str">
        <f t="shared" si="36"/>
        <v>DarkBrown</v>
      </c>
      <c r="H275" t="str">
        <f t="shared" si="37"/>
        <v>654321</v>
      </c>
      <c r="I275" t="str">
        <f t="shared" si="38"/>
        <v>65</v>
      </c>
      <c r="J275" t="str">
        <f t="shared" si="39"/>
        <v>43</v>
      </c>
      <c r="K275" t="str">
        <f t="shared" si="40"/>
        <v>21</v>
      </c>
      <c r="L275">
        <f t="shared" si="41"/>
        <v>101</v>
      </c>
      <c r="M275">
        <f t="shared" si="42"/>
        <v>67</v>
      </c>
      <c r="N275">
        <f t="shared" si="43"/>
        <v>33</v>
      </c>
      <c r="P275" t="str">
        <f t="shared" si="44"/>
        <v>.DarkBrown-bg{background-color:#654321;}</v>
      </c>
    </row>
    <row r="276" spans="2:16" ht="15.75">
      <c r="B276" s="1" t="s">
        <v>738</v>
      </c>
      <c r="C276" t="s">
        <v>739</v>
      </c>
      <c r="D276">
        <v>135.15</v>
      </c>
      <c r="E276">
        <v>102</v>
      </c>
      <c r="F276">
        <v>135.15</v>
      </c>
      <c r="G276" t="str">
        <f t="shared" si="36"/>
        <v>DarkBrowntangelo</v>
      </c>
      <c r="H276" t="str">
        <f t="shared" si="37"/>
        <v>88654E</v>
      </c>
      <c r="I276" t="str">
        <f t="shared" si="38"/>
        <v>88</v>
      </c>
      <c r="J276" t="str">
        <f t="shared" si="39"/>
        <v>65</v>
      </c>
      <c r="K276" t="str">
        <f t="shared" si="40"/>
        <v>4E</v>
      </c>
      <c r="L276">
        <f t="shared" si="41"/>
        <v>136</v>
      </c>
      <c r="M276">
        <f t="shared" si="42"/>
        <v>101</v>
      </c>
      <c r="N276">
        <f t="shared" si="43"/>
        <v>78</v>
      </c>
      <c r="P276" t="str">
        <f t="shared" si="44"/>
        <v>.DarkBrowntangelo-bg{background-color:#88654E;}</v>
      </c>
    </row>
    <row r="277" spans="2:16" ht="15.75">
      <c r="B277" s="1" t="s">
        <v>740</v>
      </c>
      <c r="C277" t="s">
        <v>741</v>
      </c>
      <c r="D277">
        <v>91.8</v>
      </c>
      <c r="E277">
        <v>56.1</v>
      </c>
      <c r="F277">
        <v>91.8</v>
      </c>
      <c r="G277" t="str">
        <f t="shared" si="36"/>
        <v>DarkByzantium</v>
      </c>
      <c r="H277" t="str">
        <f t="shared" si="37"/>
        <v>5D3954</v>
      </c>
      <c r="I277" t="str">
        <f t="shared" si="38"/>
        <v>5D</v>
      </c>
      <c r="J277" t="str">
        <f t="shared" si="39"/>
        <v>39</v>
      </c>
      <c r="K277" t="str">
        <f t="shared" si="40"/>
        <v>54</v>
      </c>
      <c r="L277">
        <f t="shared" si="41"/>
        <v>93</v>
      </c>
      <c r="M277">
        <f t="shared" si="42"/>
        <v>57</v>
      </c>
      <c r="N277">
        <f t="shared" si="43"/>
        <v>84</v>
      </c>
      <c r="P277" t="str">
        <f t="shared" si="44"/>
        <v>.DarkByzantium-bg{background-color:#5D3954;}</v>
      </c>
    </row>
    <row r="278" spans="2:16" ht="15.75">
      <c r="B278" s="1" t="s">
        <v>742</v>
      </c>
      <c r="C278" t="s">
        <v>743</v>
      </c>
      <c r="D278">
        <v>163.19999999999999</v>
      </c>
      <c r="E278">
        <v>0</v>
      </c>
      <c r="F278">
        <v>163.19999999999999</v>
      </c>
      <c r="G278" t="str">
        <f t="shared" si="36"/>
        <v>DarkCandyAppleRed</v>
      </c>
      <c r="H278" t="str">
        <f t="shared" si="37"/>
        <v>A40000</v>
      </c>
      <c r="I278" t="str">
        <f t="shared" si="38"/>
        <v>A4</v>
      </c>
      <c r="J278" t="str">
        <f t="shared" si="39"/>
        <v>00</v>
      </c>
      <c r="K278" t="str">
        <f t="shared" si="40"/>
        <v>00</v>
      </c>
      <c r="L278">
        <f t="shared" si="41"/>
        <v>164</v>
      </c>
      <c r="M278">
        <f t="shared" si="42"/>
        <v>0</v>
      </c>
      <c r="N278">
        <f t="shared" si="43"/>
        <v>0</v>
      </c>
      <c r="P278" t="str">
        <f t="shared" si="44"/>
        <v>.DarkCandyAppleRed-bg{background-color:#A40000;}</v>
      </c>
    </row>
    <row r="279" spans="2:16" ht="15.75">
      <c r="B279" s="1" t="s">
        <v>744</v>
      </c>
      <c r="C279" t="s">
        <v>745</v>
      </c>
      <c r="D279">
        <v>7.65</v>
      </c>
      <c r="E279">
        <v>68.849999999999994</v>
      </c>
      <c r="F279">
        <v>7.65</v>
      </c>
      <c r="G279" t="str">
        <f t="shared" si="36"/>
        <v>DarkCerulean</v>
      </c>
      <c r="H279" t="str">
        <f t="shared" si="37"/>
        <v>08457E</v>
      </c>
      <c r="I279" t="str">
        <f t="shared" si="38"/>
        <v>08</v>
      </c>
      <c r="J279" t="str">
        <f t="shared" si="39"/>
        <v>45</v>
      </c>
      <c r="K279" t="str">
        <f t="shared" si="40"/>
        <v>7E</v>
      </c>
      <c r="L279">
        <f t="shared" si="41"/>
        <v>8</v>
      </c>
      <c r="M279">
        <f t="shared" si="42"/>
        <v>69</v>
      </c>
      <c r="N279">
        <f t="shared" si="43"/>
        <v>126</v>
      </c>
      <c r="P279" t="str">
        <f t="shared" si="44"/>
        <v>.DarkCerulean-bg{background-color:#08457E;}</v>
      </c>
    </row>
    <row r="280" spans="2:16" ht="15.75">
      <c r="B280" s="1" t="s">
        <v>746</v>
      </c>
      <c r="C280" t="s">
        <v>747</v>
      </c>
      <c r="D280">
        <v>153</v>
      </c>
      <c r="E280">
        <v>104.55</v>
      </c>
      <c r="F280">
        <v>153</v>
      </c>
      <c r="G280" t="str">
        <f t="shared" si="36"/>
        <v>DarkChestnut</v>
      </c>
      <c r="H280" t="str">
        <f t="shared" si="37"/>
        <v>986960</v>
      </c>
      <c r="I280" t="str">
        <f t="shared" si="38"/>
        <v>98</v>
      </c>
      <c r="J280" t="str">
        <f t="shared" si="39"/>
        <v>69</v>
      </c>
      <c r="K280" t="str">
        <f t="shared" si="40"/>
        <v>60</v>
      </c>
      <c r="L280">
        <f t="shared" si="41"/>
        <v>152</v>
      </c>
      <c r="M280">
        <f t="shared" si="42"/>
        <v>105</v>
      </c>
      <c r="N280">
        <f t="shared" si="43"/>
        <v>96</v>
      </c>
      <c r="P280" t="str">
        <f t="shared" si="44"/>
        <v>.DarkChestnut-bg{background-color:#986960;}</v>
      </c>
    </row>
    <row r="281" spans="2:16" ht="15.75">
      <c r="B281" s="1" t="s">
        <v>748</v>
      </c>
      <c r="C281" t="s">
        <v>749</v>
      </c>
      <c r="D281">
        <v>204</v>
      </c>
      <c r="E281">
        <v>91.8</v>
      </c>
      <c r="F281">
        <v>204</v>
      </c>
      <c r="G281" t="str">
        <f t="shared" si="36"/>
        <v>DarkCoral</v>
      </c>
      <c r="H281" t="str">
        <f t="shared" si="37"/>
        <v>CD5B45</v>
      </c>
      <c r="I281" t="str">
        <f t="shared" si="38"/>
        <v>CD</v>
      </c>
      <c r="J281" t="str">
        <f t="shared" si="39"/>
        <v>5B</v>
      </c>
      <c r="K281" t="str">
        <f t="shared" si="40"/>
        <v>45</v>
      </c>
      <c r="L281">
        <f t="shared" si="41"/>
        <v>205</v>
      </c>
      <c r="M281">
        <f t="shared" si="42"/>
        <v>91</v>
      </c>
      <c r="N281">
        <f t="shared" si="43"/>
        <v>69</v>
      </c>
      <c r="P281" t="str">
        <f t="shared" si="44"/>
        <v>.DarkCoral-bg{background-color:#CD5B45;}</v>
      </c>
    </row>
    <row r="282" spans="2:16" ht="15.75">
      <c r="B282" s="1" t="s">
        <v>750</v>
      </c>
      <c r="C282" t="s">
        <v>751</v>
      </c>
      <c r="D282">
        <v>0</v>
      </c>
      <c r="E282">
        <v>140.25</v>
      </c>
      <c r="F282">
        <v>0</v>
      </c>
      <c r="G282" t="str">
        <f t="shared" si="36"/>
        <v>DarkCyan</v>
      </c>
      <c r="H282" t="str">
        <f t="shared" si="37"/>
        <v>008B8B</v>
      </c>
      <c r="I282" t="str">
        <f t="shared" si="38"/>
        <v>00</v>
      </c>
      <c r="J282" t="str">
        <f t="shared" si="39"/>
        <v>8B</v>
      </c>
      <c r="K282" t="str">
        <f t="shared" si="40"/>
        <v>8B</v>
      </c>
      <c r="L282">
        <f t="shared" si="41"/>
        <v>0</v>
      </c>
      <c r="M282">
        <f t="shared" si="42"/>
        <v>139</v>
      </c>
      <c r="N282">
        <f t="shared" si="43"/>
        <v>139</v>
      </c>
      <c r="P282" t="str">
        <f t="shared" si="44"/>
        <v>.DarkCyan-bg{background-color:#008B8B;}</v>
      </c>
    </row>
    <row r="283" spans="2:16" ht="15.75">
      <c r="B283" s="1" t="s">
        <v>752</v>
      </c>
      <c r="C283" t="s">
        <v>753</v>
      </c>
      <c r="D283">
        <v>84.15</v>
      </c>
      <c r="E283">
        <v>104.55</v>
      </c>
      <c r="F283">
        <v>84.15</v>
      </c>
      <c r="G283" t="str">
        <f t="shared" si="36"/>
        <v>DarkElectricBlue</v>
      </c>
      <c r="H283" t="str">
        <f t="shared" si="37"/>
        <v>536878</v>
      </c>
      <c r="I283" t="str">
        <f t="shared" si="38"/>
        <v>53</v>
      </c>
      <c r="J283" t="str">
        <f t="shared" si="39"/>
        <v>68</v>
      </c>
      <c r="K283" t="str">
        <f t="shared" si="40"/>
        <v>78</v>
      </c>
      <c r="L283">
        <f t="shared" si="41"/>
        <v>83</v>
      </c>
      <c r="M283">
        <f t="shared" si="42"/>
        <v>104</v>
      </c>
      <c r="N283">
        <f t="shared" si="43"/>
        <v>120</v>
      </c>
      <c r="P283" t="str">
        <f t="shared" si="44"/>
        <v>.DarkElectricBlue-bg{background-color:#536878;}</v>
      </c>
    </row>
    <row r="284" spans="2:16" ht="15.75">
      <c r="B284" s="1" t="s">
        <v>754</v>
      </c>
      <c r="C284" t="s">
        <v>755</v>
      </c>
      <c r="D284">
        <v>183.6</v>
      </c>
      <c r="E284">
        <v>135.15</v>
      </c>
      <c r="F284">
        <v>183.6</v>
      </c>
      <c r="G284" t="str">
        <f t="shared" si="36"/>
        <v>DarkGoldenrod</v>
      </c>
      <c r="H284" t="str">
        <f t="shared" si="37"/>
        <v>B8860B</v>
      </c>
      <c r="I284" t="str">
        <f t="shared" si="38"/>
        <v>B8</v>
      </c>
      <c r="J284" t="str">
        <f t="shared" si="39"/>
        <v>86</v>
      </c>
      <c r="K284" t="str">
        <f t="shared" si="40"/>
        <v>0B</v>
      </c>
      <c r="L284">
        <f t="shared" si="41"/>
        <v>184</v>
      </c>
      <c r="M284">
        <f t="shared" si="42"/>
        <v>134</v>
      </c>
      <c r="N284">
        <f t="shared" si="43"/>
        <v>11</v>
      </c>
      <c r="P284" t="str">
        <f t="shared" si="44"/>
        <v>.DarkGoldenrod-bg{background-color:#B8860B;}</v>
      </c>
    </row>
    <row r="285" spans="2:16" ht="15.75">
      <c r="B285" s="1" t="s">
        <v>756</v>
      </c>
      <c r="C285" t="s">
        <v>757</v>
      </c>
      <c r="D285">
        <v>168.3</v>
      </c>
      <c r="E285">
        <v>168.3</v>
      </c>
      <c r="F285">
        <v>168.3</v>
      </c>
      <c r="G285" t="str">
        <f t="shared" si="36"/>
        <v>DarkGrayX11</v>
      </c>
      <c r="H285" t="str">
        <f t="shared" si="37"/>
        <v>A9A9A9</v>
      </c>
      <c r="I285" t="str">
        <f t="shared" si="38"/>
        <v>A9</v>
      </c>
      <c r="J285" t="str">
        <f t="shared" si="39"/>
        <v>A9</v>
      </c>
      <c r="K285" t="str">
        <f t="shared" si="40"/>
        <v>A9</v>
      </c>
      <c r="L285">
        <f t="shared" si="41"/>
        <v>169</v>
      </c>
      <c r="M285">
        <f t="shared" si="42"/>
        <v>169</v>
      </c>
      <c r="N285">
        <f t="shared" si="43"/>
        <v>169</v>
      </c>
      <c r="P285" t="str">
        <f t="shared" si="44"/>
        <v>.DarkGrayX11-bg{background-color:#A9A9A9;}</v>
      </c>
    </row>
    <row r="286" spans="2:16" ht="15.75">
      <c r="B286" s="1" t="s">
        <v>758</v>
      </c>
      <c r="C286" t="s">
        <v>759</v>
      </c>
      <c r="D286">
        <v>0</v>
      </c>
      <c r="E286">
        <v>51</v>
      </c>
      <c r="F286">
        <v>0</v>
      </c>
      <c r="G286" t="str">
        <f t="shared" si="36"/>
        <v>DarkGreen</v>
      </c>
      <c r="H286" t="str">
        <f t="shared" si="37"/>
        <v>013220</v>
      </c>
      <c r="I286" t="str">
        <f t="shared" si="38"/>
        <v>01</v>
      </c>
      <c r="J286" t="str">
        <f t="shared" si="39"/>
        <v>32</v>
      </c>
      <c r="K286" t="str">
        <f t="shared" si="40"/>
        <v>20</v>
      </c>
      <c r="L286">
        <f t="shared" si="41"/>
        <v>1</v>
      </c>
      <c r="M286">
        <f t="shared" si="42"/>
        <v>50</v>
      </c>
      <c r="N286">
        <f t="shared" si="43"/>
        <v>32</v>
      </c>
      <c r="P286" t="str">
        <f t="shared" si="44"/>
        <v>.DarkGreen-bg{background-color:#013220;}</v>
      </c>
    </row>
    <row r="287" spans="2:16" ht="15.75">
      <c r="B287" s="1" t="s">
        <v>760</v>
      </c>
      <c r="C287" t="s">
        <v>761</v>
      </c>
      <c r="D287">
        <v>0</v>
      </c>
      <c r="E287">
        <v>99.45</v>
      </c>
      <c r="F287">
        <v>0</v>
      </c>
      <c r="G287" t="str">
        <f t="shared" si="36"/>
        <v>DarkGreenX11</v>
      </c>
      <c r="H287" t="str">
        <f t="shared" si="37"/>
        <v>006400</v>
      </c>
      <c r="I287" t="str">
        <f t="shared" si="38"/>
        <v>00</v>
      </c>
      <c r="J287" t="str">
        <f t="shared" si="39"/>
        <v>64</v>
      </c>
      <c r="K287" t="str">
        <f t="shared" si="40"/>
        <v>00</v>
      </c>
      <c r="L287">
        <f t="shared" si="41"/>
        <v>0</v>
      </c>
      <c r="M287">
        <f t="shared" si="42"/>
        <v>100</v>
      </c>
      <c r="N287">
        <f t="shared" si="43"/>
        <v>0</v>
      </c>
      <c r="P287" t="str">
        <f t="shared" si="44"/>
        <v>.DarkGreenX11-bg{background-color:#006400;}</v>
      </c>
    </row>
    <row r="288" spans="2:16" ht="15.75">
      <c r="B288" s="1" t="s">
        <v>762</v>
      </c>
      <c r="C288" t="s">
        <v>761</v>
      </c>
      <c r="D288">
        <v>30.6</v>
      </c>
      <c r="E288">
        <v>38.25</v>
      </c>
      <c r="F288">
        <v>30.6</v>
      </c>
      <c r="G288" t="str">
        <f t="shared" si="36"/>
        <v>DarkGunmetal</v>
      </c>
      <c r="H288" t="str">
        <f t="shared" si="37"/>
        <v>006400</v>
      </c>
      <c r="I288" t="str">
        <f t="shared" si="38"/>
        <v>00</v>
      </c>
      <c r="J288" t="str">
        <f t="shared" si="39"/>
        <v>64</v>
      </c>
      <c r="K288" t="str">
        <f t="shared" si="40"/>
        <v>00</v>
      </c>
      <c r="L288">
        <f t="shared" si="41"/>
        <v>0</v>
      </c>
      <c r="M288">
        <f t="shared" si="42"/>
        <v>100</v>
      </c>
      <c r="N288">
        <f t="shared" si="43"/>
        <v>0</v>
      </c>
      <c r="P288" t="str">
        <f t="shared" si="44"/>
        <v>.DarkGunmetal-bg{background-color:#006400;}</v>
      </c>
    </row>
    <row r="289" spans="2:16" ht="15.75">
      <c r="B289" s="1" t="s">
        <v>763</v>
      </c>
      <c r="C289" t="s">
        <v>764</v>
      </c>
      <c r="D289">
        <v>0</v>
      </c>
      <c r="E289">
        <v>63.75</v>
      </c>
      <c r="F289">
        <v>0</v>
      </c>
      <c r="G289" t="str">
        <f t="shared" si="36"/>
        <v>DarkImperialBlue</v>
      </c>
      <c r="H289" t="str">
        <f t="shared" si="37"/>
        <v>00416A</v>
      </c>
      <c r="I289" t="str">
        <f t="shared" si="38"/>
        <v>00</v>
      </c>
      <c r="J289" t="str">
        <f t="shared" si="39"/>
        <v>41</v>
      </c>
      <c r="K289" t="str">
        <f t="shared" si="40"/>
        <v>6A</v>
      </c>
      <c r="L289">
        <f t="shared" si="41"/>
        <v>0</v>
      </c>
      <c r="M289">
        <f t="shared" si="42"/>
        <v>65</v>
      </c>
      <c r="N289">
        <f t="shared" si="43"/>
        <v>106</v>
      </c>
      <c r="P289" t="str">
        <f t="shared" si="44"/>
        <v>.DarkImperialBlue-bg{background-color:#00416A;}</v>
      </c>
    </row>
    <row r="290" spans="2:16" ht="15.75">
      <c r="B290" s="1" t="s">
        <v>763</v>
      </c>
      <c r="C290" t="s">
        <v>765</v>
      </c>
      <c r="D290">
        <v>0</v>
      </c>
      <c r="E290">
        <v>20.399999999999999</v>
      </c>
      <c r="F290">
        <v>0</v>
      </c>
      <c r="G290" t="str">
        <f t="shared" si="36"/>
        <v>DarkImperialBlue</v>
      </c>
      <c r="H290" t="str">
        <f t="shared" si="37"/>
        <v>6E6EF9</v>
      </c>
      <c r="I290" t="str">
        <f t="shared" si="38"/>
        <v>6E</v>
      </c>
      <c r="J290" t="str">
        <f t="shared" si="39"/>
        <v>6E</v>
      </c>
      <c r="K290" t="str">
        <f t="shared" si="40"/>
        <v>F9</v>
      </c>
      <c r="L290">
        <f t="shared" si="41"/>
        <v>110</v>
      </c>
      <c r="M290">
        <f t="shared" si="42"/>
        <v>110</v>
      </c>
      <c r="N290">
        <f t="shared" si="43"/>
        <v>249</v>
      </c>
      <c r="P290" t="str">
        <f t="shared" si="44"/>
        <v>.DarkImperialBlue-bg{background-color:#6E6EF9;}</v>
      </c>
    </row>
    <row r="291" spans="2:16" ht="15.75">
      <c r="B291" s="1" t="s">
        <v>766</v>
      </c>
      <c r="C291" t="s">
        <v>767</v>
      </c>
      <c r="D291">
        <v>25.5</v>
      </c>
      <c r="E291">
        <v>35.700000000000003</v>
      </c>
      <c r="F291">
        <v>25.5</v>
      </c>
      <c r="G291" t="str">
        <f t="shared" si="36"/>
        <v>DarkJungleGreen</v>
      </c>
      <c r="H291" t="str">
        <f t="shared" si="37"/>
        <v>1A2421</v>
      </c>
      <c r="I291" t="str">
        <f t="shared" si="38"/>
        <v>1A</v>
      </c>
      <c r="J291" t="str">
        <f t="shared" si="39"/>
        <v>24</v>
      </c>
      <c r="K291" t="str">
        <f t="shared" si="40"/>
        <v>21</v>
      </c>
      <c r="L291">
        <f t="shared" si="41"/>
        <v>26</v>
      </c>
      <c r="M291">
        <f t="shared" si="42"/>
        <v>36</v>
      </c>
      <c r="N291">
        <f t="shared" si="43"/>
        <v>33</v>
      </c>
      <c r="P291" t="str">
        <f t="shared" si="44"/>
        <v>.DarkJungleGreen-bg{background-color:#1A2421;}</v>
      </c>
    </row>
    <row r="292" spans="2:16" ht="15.75">
      <c r="B292" s="1" t="s">
        <v>768</v>
      </c>
      <c r="C292" t="s">
        <v>769</v>
      </c>
      <c r="D292">
        <v>188.7</v>
      </c>
      <c r="E292">
        <v>183.6</v>
      </c>
      <c r="F292">
        <v>188.7</v>
      </c>
      <c r="G292" t="str">
        <f t="shared" si="36"/>
        <v>DarkKhaki</v>
      </c>
      <c r="H292" t="str">
        <f t="shared" si="37"/>
        <v>BDB76B</v>
      </c>
      <c r="I292" t="str">
        <f t="shared" si="38"/>
        <v>BD</v>
      </c>
      <c r="J292" t="str">
        <f t="shared" si="39"/>
        <v>B7</v>
      </c>
      <c r="K292" t="str">
        <f t="shared" si="40"/>
        <v>6B</v>
      </c>
      <c r="L292">
        <f t="shared" si="41"/>
        <v>189</v>
      </c>
      <c r="M292">
        <f t="shared" si="42"/>
        <v>183</v>
      </c>
      <c r="N292">
        <f t="shared" si="43"/>
        <v>107</v>
      </c>
      <c r="P292" t="str">
        <f t="shared" si="44"/>
        <v>.DarkKhaki-bg{background-color:#BDB76B;}</v>
      </c>
    </row>
    <row r="293" spans="2:16" ht="15.75">
      <c r="B293" s="1" t="s">
        <v>770</v>
      </c>
      <c r="C293" t="s">
        <v>771</v>
      </c>
      <c r="D293">
        <v>71.400000000000006</v>
      </c>
      <c r="E293">
        <v>61.2</v>
      </c>
      <c r="F293">
        <v>71.400000000000006</v>
      </c>
      <c r="G293" t="str">
        <f t="shared" si="36"/>
        <v>DarkLava</v>
      </c>
      <c r="H293" t="str">
        <f t="shared" si="37"/>
        <v>483C32</v>
      </c>
      <c r="I293" t="str">
        <f t="shared" si="38"/>
        <v>48</v>
      </c>
      <c r="J293" t="str">
        <f t="shared" si="39"/>
        <v>3C</v>
      </c>
      <c r="K293" t="str">
        <f t="shared" si="40"/>
        <v>32</v>
      </c>
      <c r="L293">
        <f t="shared" si="41"/>
        <v>72</v>
      </c>
      <c r="M293">
        <f t="shared" si="42"/>
        <v>60</v>
      </c>
      <c r="N293">
        <f t="shared" si="43"/>
        <v>50</v>
      </c>
      <c r="P293" t="str">
        <f t="shared" si="44"/>
        <v>.DarkLava-bg{background-color:#483C32;}</v>
      </c>
    </row>
    <row r="294" spans="2:16" ht="15.75">
      <c r="B294" s="1" t="s">
        <v>772</v>
      </c>
      <c r="C294" t="s">
        <v>773</v>
      </c>
      <c r="D294">
        <v>114.75</v>
      </c>
      <c r="E294">
        <v>79.05</v>
      </c>
      <c r="F294">
        <v>114.75</v>
      </c>
      <c r="G294" t="str">
        <f t="shared" si="36"/>
        <v>DarkLavender</v>
      </c>
      <c r="H294" t="str">
        <f t="shared" si="37"/>
        <v>734F96</v>
      </c>
      <c r="I294" t="str">
        <f t="shared" si="38"/>
        <v>73</v>
      </c>
      <c r="J294" t="str">
        <f t="shared" si="39"/>
        <v>4F</v>
      </c>
      <c r="K294" t="str">
        <f t="shared" si="40"/>
        <v>96</v>
      </c>
      <c r="L294">
        <f t="shared" si="41"/>
        <v>115</v>
      </c>
      <c r="M294">
        <f t="shared" si="42"/>
        <v>79</v>
      </c>
      <c r="N294">
        <f t="shared" si="43"/>
        <v>150</v>
      </c>
      <c r="P294" t="str">
        <f t="shared" si="44"/>
        <v>.DarkLavender-bg{background-color:#734F96;}</v>
      </c>
    </row>
    <row r="295" spans="2:16" ht="15.75">
      <c r="B295" s="1" t="s">
        <v>774</v>
      </c>
      <c r="C295" t="s">
        <v>775</v>
      </c>
      <c r="D295">
        <v>84.15</v>
      </c>
      <c r="E295">
        <v>73.95</v>
      </c>
      <c r="F295">
        <v>84.15</v>
      </c>
      <c r="G295" t="str">
        <f t="shared" si="36"/>
        <v>DarkLiver</v>
      </c>
      <c r="H295" t="str">
        <f t="shared" si="37"/>
        <v>534B4F</v>
      </c>
      <c r="I295" t="str">
        <f t="shared" si="38"/>
        <v>53</v>
      </c>
      <c r="J295" t="str">
        <f t="shared" si="39"/>
        <v>4B</v>
      </c>
      <c r="K295" t="str">
        <f t="shared" si="40"/>
        <v>4F</v>
      </c>
      <c r="L295">
        <f t="shared" si="41"/>
        <v>83</v>
      </c>
      <c r="M295">
        <f t="shared" si="42"/>
        <v>75</v>
      </c>
      <c r="N295">
        <f t="shared" si="43"/>
        <v>79</v>
      </c>
      <c r="P295" t="str">
        <f t="shared" si="44"/>
        <v>.DarkLiver-bg{background-color:#534B4F;}</v>
      </c>
    </row>
    <row r="296" spans="2:16" ht="15.75">
      <c r="B296" s="1" t="s">
        <v>776</v>
      </c>
      <c r="C296" t="s">
        <v>777</v>
      </c>
      <c r="D296">
        <v>84.15</v>
      </c>
      <c r="E296">
        <v>61.2</v>
      </c>
      <c r="F296">
        <v>84.15</v>
      </c>
      <c r="G296" t="str">
        <f t="shared" si="36"/>
        <v>DarkLiverHorses</v>
      </c>
      <c r="H296" t="str">
        <f t="shared" si="37"/>
        <v>543D37</v>
      </c>
      <c r="I296" t="str">
        <f t="shared" si="38"/>
        <v>54</v>
      </c>
      <c r="J296" t="str">
        <f t="shared" si="39"/>
        <v>3D</v>
      </c>
      <c r="K296" t="str">
        <f t="shared" si="40"/>
        <v>37</v>
      </c>
      <c r="L296">
        <f t="shared" si="41"/>
        <v>84</v>
      </c>
      <c r="M296">
        <f t="shared" si="42"/>
        <v>61</v>
      </c>
      <c r="N296">
        <f t="shared" si="43"/>
        <v>55</v>
      </c>
      <c r="P296" t="str">
        <f t="shared" si="44"/>
        <v>.DarkLiverHorses-bg{background-color:#543D37;}</v>
      </c>
    </row>
    <row r="297" spans="2:16" ht="15.75">
      <c r="B297" s="1" t="s">
        <v>778</v>
      </c>
      <c r="C297" t="s">
        <v>779</v>
      </c>
      <c r="D297">
        <v>140.25</v>
      </c>
      <c r="E297">
        <v>0</v>
      </c>
      <c r="F297">
        <v>140.25</v>
      </c>
      <c r="G297" t="str">
        <f t="shared" si="36"/>
        <v>DarkMagenta</v>
      </c>
      <c r="H297" t="str">
        <f t="shared" si="37"/>
        <v>8B008B</v>
      </c>
      <c r="I297" t="str">
        <f t="shared" si="38"/>
        <v>8B</v>
      </c>
      <c r="J297" t="str">
        <f t="shared" si="39"/>
        <v>00</v>
      </c>
      <c r="K297" t="str">
        <f t="shared" si="40"/>
        <v>8B</v>
      </c>
      <c r="L297">
        <f t="shared" si="41"/>
        <v>139</v>
      </c>
      <c r="M297">
        <f t="shared" si="42"/>
        <v>0</v>
      </c>
      <c r="N297">
        <f t="shared" si="43"/>
        <v>139</v>
      </c>
      <c r="P297" t="str">
        <f t="shared" si="44"/>
        <v>.DarkMagenta-bg{background-color:#8B008B;}</v>
      </c>
    </row>
    <row r="298" spans="2:16" ht="15.75">
      <c r="B298" s="1" t="s">
        <v>780</v>
      </c>
      <c r="C298" t="s">
        <v>757</v>
      </c>
      <c r="D298">
        <v>168.3</v>
      </c>
      <c r="E298">
        <v>168.3</v>
      </c>
      <c r="F298">
        <v>168.3</v>
      </c>
      <c r="G298" t="str">
        <f t="shared" si="36"/>
        <v>DarkMediumGray</v>
      </c>
      <c r="H298" t="str">
        <f t="shared" si="37"/>
        <v>A9A9A9</v>
      </c>
      <c r="I298" t="str">
        <f t="shared" si="38"/>
        <v>A9</v>
      </c>
      <c r="J298" t="str">
        <f t="shared" si="39"/>
        <v>A9</v>
      </c>
      <c r="K298" t="str">
        <f t="shared" si="40"/>
        <v>A9</v>
      </c>
      <c r="L298">
        <f t="shared" si="41"/>
        <v>169</v>
      </c>
      <c r="M298">
        <f t="shared" si="42"/>
        <v>169</v>
      </c>
      <c r="N298">
        <f t="shared" si="43"/>
        <v>169</v>
      </c>
      <c r="P298" t="str">
        <f t="shared" si="44"/>
        <v>.DarkMediumGray-bg{background-color:#A9A9A9;}</v>
      </c>
    </row>
    <row r="299" spans="2:16" ht="15.75">
      <c r="B299" s="1" t="s">
        <v>781</v>
      </c>
      <c r="C299" t="s">
        <v>782</v>
      </c>
      <c r="D299">
        <v>0</v>
      </c>
      <c r="E299">
        <v>51</v>
      </c>
      <c r="F299">
        <v>0</v>
      </c>
      <c r="G299" t="str">
        <f t="shared" si="36"/>
        <v>DarkMidnightBlue</v>
      </c>
      <c r="H299" t="str">
        <f t="shared" si="37"/>
        <v>003366</v>
      </c>
      <c r="I299" t="str">
        <f t="shared" si="38"/>
        <v>00</v>
      </c>
      <c r="J299" t="str">
        <f t="shared" si="39"/>
        <v>33</v>
      </c>
      <c r="K299" t="str">
        <f t="shared" si="40"/>
        <v>66</v>
      </c>
      <c r="L299">
        <f t="shared" si="41"/>
        <v>0</v>
      </c>
      <c r="M299">
        <f t="shared" si="42"/>
        <v>51</v>
      </c>
      <c r="N299">
        <f t="shared" si="43"/>
        <v>102</v>
      </c>
      <c r="P299" t="str">
        <f t="shared" si="44"/>
        <v>.DarkMidnightBlue-bg{background-color:#003366;}</v>
      </c>
    </row>
    <row r="300" spans="2:16" ht="15.75">
      <c r="B300" s="1" t="s">
        <v>783</v>
      </c>
      <c r="C300" t="s">
        <v>784</v>
      </c>
      <c r="D300">
        <v>73.95</v>
      </c>
      <c r="E300">
        <v>91.8</v>
      </c>
      <c r="F300">
        <v>73.95</v>
      </c>
      <c r="G300" t="str">
        <f t="shared" si="36"/>
        <v>DarkMossGreen</v>
      </c>
      <c r="H300" t="str">
        <f t="shared" si="37"/>
        <v>4A5D23</v>
      </c>
      <c r="I300" t="str">
        <f t="shared" si="38"/>
        <v>4A</v>
      </c>
      <c r="J300" t="str">
        <f t="shared" si="39"/>
        <v>5D</v>
      </c>
      <c r="K300" t="str">
        <f t="shared" si="40"/>
        <v>23</v>
      </c>
      <c r="L300">
        <f t="shared" si="41"/>
        <v>74</v>
      </c>
      <c r="M300">
        <f t="shared" si="42"/>
        <v>93</v>
      </c>
      <c r="N300">
        <f t="shared" si="43"/>
        <v>35</v>
      </c>
      <c r="P300" t="str">
        <f t="shared" si="44"/>
        <v>.DarkMossGreen-bg{background-color:#4A5D23;}</v>
      </c>
    </row>
    <row r="301" spans="2:16" ht="15.75">
      <c r="B301" s="1" t="s">
        <v>785</v>
      </c>
      <c r="C301" t="s">
        <v>786</v>
      </c>
      <c r="D301">
        <v>84.15</v>
      </c>
      <c r="E301">
        <v>107.1</v>
      </c>
      <c r="F301">
        <v>84.15</v>
      </c>
      <c r="G301" t="str">
        <f t="shared" si="36"/>
        <v>DarkOliveGreen</v>
      </c>
      <c r="H301" t="str">
        <f t="shared" si="37"/>
        <v>556B2F</v>
      </c>
      <c r="I301" t="str">
        <f t="shared" si="38"/>
        <v>55</v>
      </c>
      <c r="J301" t="str">
        <f t="shared" si="39"/>
        <v>6B</v>
      </c>
      <c r="K301" t="str">
        <f t="shared" si="40"/>
        <v>2F</v>
      </c>
      <c r="L301">
        <f t="shared" si="41"/>
        <v>85</v>
      </c>
      <c r="M301">
        <f t="shared" si="42"/>
        <v>107</v>
      </c>
      <c r="N301">
        <f t="shared" si="43"/>
        <v>47</v>
      </c>
      <c r="P301" t="str">
        <f t="shared" si="44"/>
        <v>.DarkOliveGreen-bg{background-color:#556B2F;}</v>
      </c>
    </row>
    <row r="302" spans="2:16" ht="15.75">
      <c r="B302" s="1" t="s">
        <v>787</v>
      </c>
      <c r="C302" t="s">
        <v>788</v>
      </c>
      <c r="D302">
        <v>255</v>
      </c>
      <c r="E302">
        <v>140.25</v>
      </c>
      <c r="F302">
        <v>255</v>
      </c>
      <c r="G302" t="str">
        <f t="shared" si="36"/>
        <v>DarkOrange</v>
      </c>
      <c r="H302" t="str">
        <f t="shared" si="37"/>
        <v>FF8C00</v>
      </c>
      <c r="I302" t="str">
        <f t="shared" si="38"/>
        <v>FF</v>
      </c>
      <c r="J302" t="str">
        <f t="shared" si="39"/>
        <v>8C</v>
      </c>
      <c r="K302" t="str">
        <f t="shared" si="40"/>
        <v>00</v>
      </c>
      <c r="L302">
        <f t="shared" si="41"/>
        <v>255</v>
      </c>
      <c r="M302">
        <f t="shared" si="42"/>
        <v>140</v>
      </c>
      <c r="N302">
        <f t="shared" si="43"/>
        <v>0</v>
      </c>
      <c r="P302" t="str">
        <f t="shared" si="44"/>
        <v>.DarkOrange-bg{background-color:#FF8C00;}</v>
      </c>
    </row>
    <row r="303" spans="2:16" ht="15.75">
      <c r="B303" s="1" t="s">
        <v>789</v>
      </c>
      <c r="C303" t="s">
        <v>790</v>
      </c>
      <c r="D303">
        <v>153</v>
      </c>
      <c r="E303">
        <v>51</v>
      </c>
      <c r="F303">
        <v>153</v>
      </c>
      <c r="G303" t="str">
        <f t="shared" si="36"/>
        <v>DarkOrchid</v>
      </c>
      <c r="H303" t="str">
        <f t="shared" si="37"/>
        <v>9932CC</v>
      </c>
      <c r="I303" t="str">
        <f t="shared" si="38"/>
        <v>99</v>
      </c>
      <c r="J303" t="str">
        <f t="shared" si="39"/>
        <v>32</v>
      </c>
      <c r="K303" t="str">
        <f t="shared" si="40"/>
        <v>CC</v>
      </c>
      <c r="L303">
        <f t="shared" si="41"/>
        <v>153</v>
      </c>
      <c r="M303">
        <f t="shared" si="42"/>
        <v>50</v>
      </c>
      <c r="N303">
        <f t="shared" si="43"/>
        <v>204</v>
      </c>
      <c r="P303" t="str">
        <f t="shared" si="44"/>
        <v>.DarkOrchid-bg{background-color:#9932CC;}</v>
      </c>
    </row>
    <row r="304" spans="2:16" ht="15.75">
      <c r="B304" s="1" t="s">
        <v>791</v>
      </c>
      <c r="C304" t="s">
        <v>792</v>
      </c>
      <c r="D304">
        <v>119.85</v>
      </c>
      <c r="E304">
        <v>158.1</v>
      </c>
      <c r="F304">
        <v>119.85</v>
      </c>
      <c r="G304" t="str">
        <f t="shared" si="36"/>
        <v>DarkPastelBlue</v>
      </c>
      <c r="H304" t="str">
        <f t="shared" si="37"/>
        <v>779ECB</v>
      </c>
      <c r="I304" t="str">
        <f t="shared" si="38"/>
        <v>77</v>
      </c>
      <c r="J304" t="str">
        <f t="shared" si="39"/>
        <v>9E</v>
      </c>
      <c r="K304" t="str">
        <f t="shared" si="40"/>
        <v>CB</v>
      </c>
      <c r="L304">
        <f t="shared" si="41"/>
        <v>119</v>
      </c>
      <c r="M304">
        <f t="shared" si="42"/>
        <v>158</v>
      </c>
      <c r="N304">
        <f t="shared" si="43"/>
        <v>203</v>
      </c>
      <c r="P304" t="str">
        <f t="shared" si="44"/>
        <v>.DarkPastelBlue-bg{background-color:#779ECB;}</v>
      </c>
    </row>
    <row r="305" spans="2:16" ht="15.75">
      <c r="B305" s="1" t="s">
        <v>793</v>
      </c>
      <c r="C305" t="s">
        <v>794</v>
      </c>
      <c r="D305">
        <v>2.5499999999999998</v>
      </c>
      <c r="E305">
        <v>191.25</v>
      </c>
      <c r="F305">
        <v>2.5499999999999998</v>
      </c>
      <c r="G305" t="str">
        <f t="shared" si="36"/>
        <v>DarkPastelGreen</v>
      </c>
      <c r="H305" t="str">
        <f t="shared" si="37"/>
        <v>03C03C</v>
      </c>
      <c r="I305" t="str">
        <f t="shared" si="38"/>
        <v>03</v>
      </c>
      <c r="J305" t="str">
        <f t="shared" si="39"/>
        <v>C0</v>
      </c>
      <c r="K305" t="str">
        <f t="shared" si="40"/>
        <v>3C</v>
      </c>
      <c r="L305">
        <f t="shared" si="41"/>
        <v>3</v>
      </c>
      <c r="M305">
        <f t="shared" si="42"/>
        <v>192</v>
      </c>
      <c r="N305">
        <f t="shared" si="43"/>
        <v>60</v>
      </c>
      <c r="P305" t="str">
        <f t="shared" si="44"/>
        <v>.DarkPastelGreen-bg{background-color:#03C03C;}</v>
      </c>
    </row>
    <row r="306" spans="2:16" ht="15.75">
      <c r="B306" s="1" t="s">
        <v>795</v>
      </c>
      <c r="C306" t="s">
        <v>796</v>
      </c>
      <c r="D306">
        <v>150.44999999999999</v>
      </c>
      <c r="E306">
        <v>112.2</v>
      </c>
      <c r="F306">
        <v>150.44999999999999</v>
      </c>
      <c r="G306" t="str">
        <f t="shared" si="36"/>
        <v>DarkPastelPurple</v>
      </c>
      <c r="H306" t="str">
        <f t="shared" si="37"/>
        <v>966FD6</v>
      </c>
      <c r="I306" t="str">
        <f t="shared" si="38"/>
        <v>96</v>
      </c>
      <c r="J306" t="str">
        <f t="shared" si="39"/>
        <v>6F</v>
      </c>
      <c r="K306" t="str">
        <f t="shared" si="40"/>
        <v>D6</v>
      </c>
      <c r="L306">
        <f t="shared" si="41"/>
        <v>150</v>
      </c>
      <c r="M306">
        <f t="shared" si="42"/>
        <v>111</v>
      </c>
      <c r="N306">
        <f t="shared" si="43"/>
        <v>214</v>
      </c>
      <c r="P306" t="str">
        <f t="shared" si="44"/>
        <v>.DarkPastelPurple-bg{background-color:#966FD6;}</v>
      </c>
    </row>
    <row r="307" spans="2:16" ht="15.75">
      <c r="B307" s="1" t="s">
        <v>797</v>
      </c>
      <c r="C307" t="s">
        <v>798</v>
      </c>
      <c r="D307">
        <v>193.8</v>
      </c>
      <c r="E307">
        <v>58.65</v>
      </c>
      <c r="F307">
        <v>193.8</v>
      </c>
      <c r="G307" t="str">
        <f t="shared" si="36"/>
        <v>DarkPastelRed</v>
      </c>
      <c r="H307" t="str">
        <f t="shared" si="37"/>
        <v>C23B22</v>
      </c>
      <c r="I307" t="str">
        <f t="shared" si="38"/>
        <v>C2</v>
      </c>
      <c r="J307" t="str">
        <f t="shared" si="39"/>
        <v>3B</v>
      </c>
      <c r="K307" t="str">
        <f t="shared" si="40"/>
        <v>22</v>
      </c>
      <c r="L307">
        <f t="shared" si="41"/>
        <v>194</v>
      </c>
      <c r="M307">
        <f t="shared" si="42"/>
        <v>59</v>
      </c>
      <c r="N307">
        <f t="shared" si="43"/>
        <v>34</v>
      </c>
      <c r="P307" t="str">
        <f t="shared" si="44"/>
        <v>.DarkPastelRed-bg{background-color:#C23B22;}</v>
      </c>
    </row>
    <row r="308" spans="2:16" ht="15.75">
      <c r="B308" s="1" t="s">
        <v>799</v>
      </c>
      <c r="C308" t="s">
        <v>800</v>
      </c>
      <c r="D308">
        <v>232.05</v>
      </c>
      <c r="E308">
        <v>84.15</v>
      </c>
      <c r="F308">
        <v>232.05</v>
      </c>
      <c r="G308" t="str">
        <f t="shared" si="36"/>
        <v>DarkPink</v>
      </c>
      <c r="H308" t="str">
        <f t="shared" si="37"/>
        <v>E75480</v>
      </c>
      <c r="I308" t="str">
        <f t="shared" si="38"/>
        <v>E7</v>
      </c>
      <c r="J308" t="str">
        <f t="shared" si="39"/>
        <v>54</v>
      </c>
      <c r="K308" t="str">
        <f t="shared" si="40"/>
        <v>80</v>
      </c>
      <c r="L308">
        <f t="shared" si="41"/>
        <v>231</v>
      </c>
      <c r="M308">
        <f t="shared" si="42"/>
        <v>84</v>
      </c>
      <c r="N308">
        <f t="shared" si="43"/>
        <v>128</v>
      </c>
      <c r="P308" t="str">
        <f t="shared" si="44"/>
        <v>.DarkPink-bg{background-color:#E75480;}</v>
      </c>
    </row>
    <row r="309" spans="2:16" ht="15.75">
      <c r="B309" s="1" t="s">
        <v>801</v>
      </c>
      <c r="C309" t="s">
        <v>802</v>
      </c>
      <c r="D309">
        <v>0</v>
      </c>
      <c r="E309">
        <v>51</v>
      </c>
      <c r="F309">
        <v>0</v>
      </c>
      <c r="G309" t="str">
        <f t="shared" si="36"/>
        <v>DarkPowderBlue</v>
      </c>
      <c r="H309" t="str">
        <f t="shared" si="37"/>
        <v>003399</v>
      </c>
      <c r="I309" t="str">
        <f t="shared" si="38"/>
        <v>00</v>
      </c>
      <c r="J309" t="str">
        <f t="shared" si="39"/>
        <v>33</v>
      </c>
      <c r="K309" t="str">
        <f t="shared" si="40"/>
        <v>99</v>
      </c>
      <c r="L309">
        <f t="shared" si="41"/>
        <v>0</v>
      </c>
      <c r="M309">
        <f t="shared" si="42"/>
        <v>51</v>
      </c>
      <c r="N309">
        <f t="shared" si="43"/>
        <v>153</v>
      </c>
      <c r="P309" t="str">
        <f t="shared" si="44"/>
        <v>.DarkPowderBlue-bg{background-color:#003399;}</v>
      </c>
    </row>
    <row r="310" spans="2:16" ht="15.75">
      <c r="B310" s="1" t="s">
        <v>803</v>
      </c>
      <c r="C310" t="s">
        <v>804</v>
      </c>
      <c r="D310">
        <v>79.05</v>
      </c>
      <c r="E310">
        <v>58.65</v>
      </c>
      <c r="F310">
        <v>79.05</v>
      </c>
      <c r="G310" t="str">
        <f t="shared" si="36"/>
        <v>DarkPuce</v>
      </c>
      <c r="H310" t="str">
        <f t="shared" si="37"/>
        <v>4F3A3C</v>
      </c>
      <c r="I310" t="str">
        <f t="shared" si="38"/>
        <v>4F</v>
      </c>
      <c r="J310" t="str">
        <f t="shared" si="39"/>
        <v>3A</v>
      </c>
      <c r="K310" t="str">
        <f t="shared" si="40"/>
        <v>3C</v>
      </c>
      <c r="L310">
        <f t="shared" si="41"/>
        <v>79</v>
      </c>
      <c r="M310">
        <f t="shared" si="42"/>
        <v>58</v>
      </c>
      <c r="N310">
        <f t="shared" si="43"/>
        <v>60</v>
      </c>
      <c r="P310" t="str">
        <f t="shared" si="44"/>
        <v>.DarkPuce-bg{background-color:#4F3A3C;}</v>
      </c>
    </row>
    <row r="311" spans="2:16" ht="15.75">
      <c r="B311" s="1" t="s">
        <v>805</v>
      </c>
      <c r="C311" t="s">
        <v>806</v>
      </c>
      <c r="D311">
        <v>48.45</v>
      </c>
      <c r="E311">
        <v>25.5</v>
      </c>
      <c r="F311">
        <v>48.45</v>
      </c>
      <c r="G311" t="str">
        <f t="shared" si="36"/>
        <v>DarkPurple</v>
      </c>
      <c r="H311" t="str">
        <f t="shared" si="37"/>
        <v>301934</v>
      </c>
      <c r="I311" t="str">
        <f t="shared" si="38"/>
        <v>30</v>
      </c>
      <c r="J311" t="str">
        <f t="shared" si="39"/>
        <v>19</v>
      </c>
      <c r="K311" t="str">
        <f t="shared" si="40"/>
        <v>34</v>
      </c>
      <c r="L311">
        <f t="shared" si="41"/>
        <v>48</v>
      </c>
      <c r="M311">
        <f t="shared" si="42"/>
        <v>25</v>
      </c>
      <c r="N311">
        <f t="shared" si="43"/>
        <v>52</v>
      </c>
      <c r="P311" t="str">
        <f t="shared" si="44"/>
        <v>.DarkPurple-bg{background-color:#301934;}</v>
      </c>
    </row>
    <row r="312" spans="2:16" ht="15.75">
      <c r="B312" s="1" t="s">
        <v>807</v>
      </c>
      <c r="C312" t="s">
        <v>808</v>
      </c>
      <c r="D312">
        <v>135.15</v>
      </c>
      <c r="E312">
        <v>38.25</v>
      </c>
      <c r="F312">
        <v>135.15</v>
      </c>
      <c r="G312" t="str">
        <f t="shared" si="36"/>
        <v>DarkRaspberry</v>
      </c>
      <c r="H312" t="str">
        <f t="shared" si="37"/>
        <v>872657</v>
      </c>
      <c r="I312" t="str">
        <f t="shared" si="38"/>
        <v>87</v>
      </c>
      <c r="J312" t="str">
        <f t="shared" si="39"/>
        <v>26</v>
      </c>
      <c r="K312" t="str">
        <f t="shared" si="40"/>
        <v>57</v>
      </c>
      <c r="L312">
        <f t="shared" si="41"/>
        <v>135</v>
      </c>
      <c r="M312">
        <f t="shared" si="42"/>
        <v>38</v>
      </c>
      <c r="N312">
        <f t="shared" si="43"/>
        <v>87</v>
      </c>
      <c r="P312" t="str">
        <f t="shared" si="44"/>
        <v>.DarkRaspberry-bg{background-color:#872657;}</v>
      </c>
    </row>
    <row r="313" spans="2:16" ht="15.75">
      <c r="B313" s="1" t="s">
        <v>809</v>
      </c>
      <c r="C313" t="s">
        <v>810</v>
      </c>
      <c r="D313">
        <v>140.25</v>
      </c>
      <c r="E313">
        <v>0</v>
      </c>
      <c r="F313">
        <v>140.25</v>
      </c>
      <c r="G313" t="str">
        <f t="shared" si="36"/>
        <v>DarkRed</v>
      </c>
      <c r="H313" t="str">
        <f t="shared" si="37"/>
        <v>8B0000</v>
      </c>
      <c r="I313" t="str">
        <f t="shared" si="38"/>
        <v>8B</v>
      </c>
      <c r="J313" t="str">
        <f t="shared" si="39"/>
        <v>00</v>
      </c>
      <c r="K313" t="str">
        <f t="shared" si="40"/>
        <v>00</v>
      </c>
      <c r="L313">
        <f t="shared" si="41"/>
        <v>139</v>
      </c>
      <c r="M313">
        <f t="shared" si="42"/>
        <v>0</v>
      </c>
      <c r="N313">
        <f t="shared" si="43"/>
        <v>0</v>
      </c>
      <c r="P313" t="str">
        <f t="shared" si="44"/>
        <v>.DarkRed-bg{background-color:#8B0000;}</v>
      </c>
    </row>
    <row r="314" spans="2:16" ht="15.75">
      <c r="B314" s="1" t="s">
        <v>811</v>
      </c>
      <c r="C314" t="s">
        <v>812</v>
      </c>
      <c r="D314">
        <v>232.05</v>
      </c>
      <c r="E314">
        <v>150.44999999999999</v>
      </c>
      <c r="F314">
        <v>232.05</v>
      </c>
      <c r="G314" t="str">
        <f t="shared" si="36"/>
        <v>DarkSalmon</v>
      </c>
      <c r="H314" t="str">
        <f t="shared" si="37"/>
        <v>E9967A</v>
      </c>
      <c r="I314" t="str">
        <f t="shared" si="38"/>
        <v>E9</v>
      </c>
      <c r="J314" t="str">
        <f t="shared" si="39"/>
        <v>96</v>
      </c>
      <c r="K314" t="str">
        <f t="shared" si="40"/>
        <v>7A</v>
      </c>
      <c r="L314">
        <f t="shared" si="41"/>
        <v>233</v>
      </c>
      <c r="M314">
        <f t="shared" si="42"/>
        <v>150</v>
      </c>
      <c r="N314">
        <f t="shared" si="43"/>
        <v>122</v>
      </c>
      <c r="P314" t="str">
        <f t="shared" si="44"/>
        <v>.DarkSalmon-bg{background-color:#E9967A;}</v>
      </c>
    </row>
    <row r="315" spans="2:16" ht="15.75">
      <c r="B315" s="1" t="s">
        <v>813</v>
      </c>
      <c r="C315" t="s">
        <v>814</v>
      </c>
      <c r="D315">
        <v>86.7</v>
      </c>
      <c r="E315">
        <v>2.5499999999999998</v>
      </c>
      <c r="F315">
        <v>86.7</v>
      </c>
      <c r="G315" t="str">
        <f t="shared" si="36"/>
        <v>DarkScarlet</v>
      </c>
      <c r="H315" t="str">
        <f t="shared" si="37"/>
        <v>560319</v>
      </c>
      <c r="I315" t="str">
        <f t="shared" si="38"/>
        <v>56</v>
      </c>
      <c r="J315" t="str">
        <f t="shared" si="39"/>
        <v>03</v>
      </c>
      <c r="K315" t="str">
        <f t="shared" si="40"/>
        <v>19</v>
      </c>
      <c r="L315">
        <f t="shared" si="41"/>
        <v>86</v>
      </c>
      <c r="M315">
        <f t="shared" si="42"/>
        <v>3</v>
      </c>
      <c r="N315">
        <f t="shared" si="43"/>
        <v>25</v>
      </c>
      <c r="P315" t="str">
        <f t="shared" si="44"/>
        <v>.DarkScarlet-bg{background-color:#560319;}</v>
      </c>
    </row>
    <row r="316" spans="2:16" ht="15.75">
      <c r="B316" s="1" t="s">
        <v>815</v>
      </c>
      <c r="C316" t="s">
        <v>816</v>
      </c>
      <c r="D316">
        <v>142.80000000000001</v>
      </c>
      <c r="E316">
        <v>188.7</v>
      </c>
      <c r="F316">
        <v>142.80000000000001</v>
      </c>
      <c r="G316" t="str">
        <f t="shared" si="36"/>
        <v>DarkSeaGreen</v>
      </c>
      <c r="H316" t="str">
        <f t="shared" si="37"/>
        <v>8FBC8F</v>
      </c>
      <c r="I316" t="str">
        <f t="shared" si="38"/>
        <v>8F</v>
      </c>
      <c r="J316" t="str">
        <f t="shared" si="39"/>
        <v>BC</v>
      </c>
      <c r="K316" t="str">
        <f t="shared" si="40"/>
        <v>8F</v>
      </c>
      <c r="L316">
        <f t="shared" si="41"/>
        <v>143</v>
      </c>
      <c r="M316">
        <f t="shared" si="42"/>
        <v>188</v>
      </c>
      <c r="N316">
        <f t="shared" si="43"/>
        <v>143</v>
      </c>
      <c r="P316" t="str">
        <f t="shared" si="44"/>
        <v>.DarkSeaGreen-bg{background-color:#8FBC8F;}</v>
      </c>
    </row>
    <row r="317" spans="2:16" ht="15.75">
      <c r="B317" s="1" t="s">
        <v>817</v>
      </c>
      <c r="C317" t="s">
        <v>818</v>
      </c>
      <c r="D317">
        <v>61.2</v>
      </c>
      <c r="E317">
        <v>20.399999999999999</v>
      </c>
      <c r="F317">
        <v>61.2</v>
      </c>
      <c r="G317" t="str">
        <f t="shared" si="36"/>
        <v>DarkSienna</v>
      </c>
      <c r="H317" t="str">
        <f t="shared" si="37"/>
        <v>3C1414</v>
      </c>
      <c r="I317" t="str">
        <f t="shared" si="38"/>
        <v>3C</v>
      </c>
      <c r="J317" t="str">
        <f t="shared" si="39"/>
        <v>14</v>
      </c>
      <c r="K317" t="str">
        <f t="shared" si="40"/>
        <v>14</v>
      </c>
      <c r="L317">
        <f t="shared" si="41"/>
        <v>60</v>
      </c>
      <c r="M317">
        <f t="shared" si="42"/>
        <v>20</v>
      </c>
      <c r="N317">
        <f t="shared" si="43"/>
        <v>20</v>
      </c>
      <c r="P317" t="str">
        <f t="shared" si="44"/>
        <v>.DarkSienna-bg{background-color:#3C1414;}</v>
      </c>
    </row>
    <row r="318" spans="2:16" ht="15.75">
      <c r="B318" s="1" t="s">
        <v>819</v>
      </c>
      <c r="C318" t="s">
        <v>820</v>
      </c>
      <c r="D318">
        <v>140.25</v>
      </c>
      <c r="E318">
        <v>191.25</v>
      </c>
      <c r="F318">
        <v>140.25</v>
      </c>
      <c r="G318" t="str">
        <f t="shared" si="36"/>
        <v>DarkSkyBlue</v>
      </c>
      <c r="H318" t="str">
        <f t="shared" si="37"/>
        <v>8CBED6</v>
      </c>
      <c r="I318" t="str">
        <f t="shared" si="38"/>
        <v>8C</v>
      </c>
      <c r="J318" t="str">
        <f t="shared" si="39"/>
        <v>BE</v>
      </c>
      <c r="K318" t="str">
        <f t="shared" si="40"/>
        <v>D6</v>
      </c>
      <c r="L318">
        <f t="shared" si="41"/>
        <v>140</v>
      </c>
      <c r="M318">
        <f t="shared" si="42"/>
        <v>190</v>
      </c>
      <c r="N318">
        <f t="shared" si="43"/>
        <v>214</v>
      </c>
      <c r="P318" t="str">
        <f t="shared" si="44"/>
        <v>.DarkSkyBlue-bg{background-color:#8CBED6;}</v>
      </c>
    </row>
    <row r="319" spans="2:16" ht="15.75">
      <c r="B319" s="1" t="s">
        <v>821</v>
      </c>
      <c r="C319" t="s">
        <v>822</v>
      </c>
      <c r="D319">
        <v>71.400000000000006</v>
      </c>
      <c r="E319">
        <v>61.2</v>
      </c>
      <c r="F319">
        <v>71.400000000000006</v>
      </c>
      <c r="G319" t="str">
        <f t="shared" si="36"/>
        <v>DarkSlateBlue</v>
      </c>
      <c r="H319" t="str">
        <f t="shared" si="37"/>
        <v>483D8B</v>
      </c>
      <c r="I319" t="str">
        <f t="shared" si="38"/>
        <v>48</v>
      </c>
      <c r="J319" t="str">
        <f t="shared" si="39"/>
        <v>3D</v>
      </c>
      <c r="K319" t="str">
        <f t="shared" si="40"/>
        <v>8B</v>
      </c>
      <c r="L319">
        <f t="shared" si="41"/>
        <v>72</v>
      </c>
      <c r="M319">
        <f t="shared" si="42"/>
        <v>61</v>
      </c>
      <c r="N319">
        <f t="shared" si="43"/>
        <v>139</v>
      </c>
      <c r="P319" t="str">
        <f t="shared" si="44"/>
        <v>.DarkSlateBlue-bg{background-color:#483D8B;}</v>
      </c>
    </row>
    <row r="320" spans="2:16" ht="15.75">
      <c r="B320" s="1" t="s">
        <v>823</v>
      </c>
      <c r="C320" t="s">
        <v>824</v>
      </c>
      <c r="D320">
        <v>45.9</v>
      </c>
      <c r="E320">
        <v>79.05</v>
      </c>
      <c r="F320">
        <v>45.9</v>
      </c>
      <c r="G320" t="str">
        <f t="shared" si="36"/>
        <v>DarkSlateGray</v>
      </c>
      <c r="H320" t="str">
        <f t="shared" si="37"/>
        <v>2F4F4F</v>
      </c>
      <c r="I320" t="str">
        <f t="shared" si="38"/>
        <v>2F</v>
      </c>
      <c r="J320" t="str">
        <f t="shared" si="39"/>
        <v>4F</v>
      </c>
      <c r="K320" t="str">
        <f t="shared" si="40"/>
        <v>4F</v>
      </c>
      <c r="L320">
        <f t="shared" si="41"/>
        <v>47</v>
      </c>
      <c r="M320">
        <f t="shared" si="42"/>
        <v>79</v>
      </c>
      <c r="N320">
        <f t="shared" si="43"/>
        <v>79</v>
      </c>
      <c r="P320" t="str">
        <f t="shared" si="44"/>
        <v>.DarkSlateGray-bg{background-color:#2F4F4F;}</v>
      </c>
    </row>
    <row r="321" spans="2:16" ht="15.75">
      <c r="B321" s="1" t="s">
        <v>825</v>
      </c>
      <c r="C321" t="s">
        <v>826</v>
      </c>
      <c r="D321">
        <v>22.95</v>
      </c>
      <c r="E321">
        <v>114.75</v>
      </c>
      <c r="F321">
        <v>22.95</v>
      </c>
      <c r="G321" t="str">
        <f t="shared" si="36"/>
        <v>DarkSpringGreen</v>
      </c>
      <c r="H321" t="str">
        <f t="shared" si="37"/>
        <v>177245</v>
      </c>
      <c r="I321" t="str">
        <f t="shared" si="38"/>
        <v>17</v>
      </c>
      <c r="J321" t="str">
        <f t="shared" si="39"/>
        <v>72</v>
      </c>
      <c r="K321" t="str">
        <f t="shared" si="40"/>
        <v>45</v>
      </c>
      <c r="L321">
        <f t="shared" si="41"/>
        <v>23</v>
      </c>
      <c r="M321">
        <f t="shared" si="42"/>
        <v>114</v>
      </c>
      <c r="N321">
        <f t="shared" si="43"/>
        <v>69</v>
      </c>
      <c r="P321" t="str">
        <f t="shared" si="44"/>
        <v>.DarkSpringGreen-bg{background-color:#177245;}</v>
      </c>
    </row>
    <row r="322" spans="2:16" ht="15.75">
      <c r="B322" s="1" t="s">
        <v>827</v>
      </c>
      <c r="C322" t="s">
        <v>828</v>
      </c>
      <c r="D322">
        <v>145.35</v>
      </c>
      <c r="E322">
        <v>130.05000000000001</v>
      </c>
      <c r="F322">
        <v>145.35</v>
      </c>
      <c r="G322" t="str">
        <f t="shared" si="36"/>
        <v>DarkTan</v>
      </c>
      <c r="H322" t="str">
        <f t="shared" si="37"/>
        <v>918151</v>
      </c>
      <c r="I322" t="str">
        <f t="shared" si="38"/>
        <v>91</v>
      </c>
      <c r="J322" t="str">
        <f t="shared" si="39"/>
        <v>81</v>
      </c>
      <c r="K322" t="str">
        <f t="shared" si="40"/>
        <v>51</v>
      </c>
      <c r="L322">
        <f t="shared" si="41"/>
        <v>145</v>
      </c>
      <c r="M322">
        <f t="shared" si="42"/>
        <v>129</v>
      </c>
      <c r="N322">
        <f t="shared" si="43"/>
        <v>81</v>
      </c>
      <c r="P322" t="str">
        <f t="shared" si="44"/>
        <v>.DarkTan-bg{background-color:#918151;}</v>
      </c>
    </row>
    <row r="323" spans="2:16" ht="15.75">
      <c r="B323" s="1" t="s">
        <v>829</v>
      </c>
      <c r="C323" t="s">
        <v>830</v>
      </c>
      <c r="D323">
        <v>255</v>
      </c>
      <c r="E323">
        <v>168.3</v>
      </c>
      <c r="F323">
        <v>255</v>
      </c>
      <c r="G323" t="str">
        <f t="shared" si="36"/>
        <v>DarkTangerine</v>
      </c>
      <c r="H323" t="str">
        <f t="shared" si="37"/>
        <v>FFA812</v>
      </c>
      <c r="I323" t="str">
        <f t="shared" si="38"/>
        <v>FF</v>
      </c>
      <c r="J323" t="str">
        <f t="shared" si="39"/>
        <v>A8</v>
      </c>
      <c r="K323" t="str">
        <f t="shared" si="40"/>
        <v>12</v>
      </c>
      <c r="L323">
        <f t="shared" si="41"/>
        <v>255</v>
      </c>
      <c r="M323">
        <f t="shared" si="42"/>
        <v>168</v>
      </c>
      <c r="N323">
        <f t="shared" si="43"/>
        <v>18</v>
      </c>
      <c r="P323" t="str">
        <f t="shared" si="44"/>
        <v>.DarkTangerine-bg{background-color:#FFA812;}</v>
      </c>
    </row>
    <row r="324" spans="2:16" ht="15.75">
      <c r="B324" s="1" t="s">
        <v>831</v>
      </c>
      <c r="C324" t="s">
        <v>771</v>
      </c>
      <c r="D324">
        <v>71.400000000000006</v>
      </c>
      <c r="E324">
        <v>61.2</v>
      </c>
      <c r="F324">
        <v>71.400000000000006</v>
      </c>
      <c r="G324" t="str">
        <f t="shared" ref="G324:G387" si="45">SUBSTITUTE(PROPER(AlphaNumericOnly(B324))," ","")</f>
        <v>DarkTaupe</v>
      </c>
      <c r="H324" t="str">
        <f t="shared" ref="H324:H387" si="46">RIGHT(C324,6)</f>
        <v>483C32</v>
      </c>
      <c r="I324" t="str">
        <f t="shared" ref="I324:I387" si="47">MID($H324,1,2)</f>
        <v>48</v>
      </c>
      <c r="J324" t="str">
        <f t="shared" ref="J324:J387" si="48">MID($H324,3,2)</f>
        <v>3C</v>
      </c>
      <c r="K324" t="str">
        <f t="shared" ref="K324:K387" si="49">MID($H324,5,2)</f>
        <v>32</v>
      </c>
      <c r="L324">
        <f t="shared" ref="L324:L387" si="50">HEX2DEC(I324)</f>
        <v>72</v>
      </c>
      <c r="M324">
        <f t="shared" ref="M324:M387" si="51">HEX2DEC(J324)</f>
        <v>60</v>
      </c>
      <c r="N324">
        <f t="shared" ref="N324:N387" si="52">HEX2DEC(K324)</f>
        <v>50</v>
      </c>
      <c r="P324" t="str">
        <f t="shared" ref="P324:P387" si="53">"."&amp;G324&amp;$P$1&amp;"{"&amp;$P$2&amp;":#"&amp;H324&amp;";}"</f>
        <v>.DarkTaupe-bg{background-color:#483C32;}</v>
      </c>
    </row>
    <row r="325" spans="2:16" ht="15.75">
      <c r="B325" s="1" t="s">
        <v>832</v>
      </c>
      <c r="C325" t="s">
        <v>833</v>
      </c>
      <c r="D325">
        <v>204</v>
      </c>
      <c r="E325">
        <v>79.05</v>
      </c>
      <c r="F325">
        <v>204</v>
      </c>
      <c r="G325" t="str">
        <f t="shared" si="45"/>
        <v>DarkTerraCotta</v>
      </c>
      <c r="H325" t="str">
        <f t="shared" si="46"/>
        <v>CC4E5C</v>
      </c>
      <c r="I325" t="str">
        <f t="shared" si="47"/>
        <v>CC</v>
      </c>
      <c r="J325" t="str">
        <f t="shared" si="48"/>
        <v>4E</v>
      </c>
      <c r="K325" t="str">
        <f t="shared" si="49"/>
        <v>5C</v>
      </c>
      <c r="L325">
        <f t="shared" si="50"/>
        <v>204</v>
      </c>
      <c r="M325">
        <f t="shared" si="51"/>
        <v>78</v>
      </c>
      <c r="N325">
        <f t="shared" si="52"/>
        <v>92</v>
      </c>
      <c r="P325" t="str">
        <f t="shared" si="53"/>
        <v>.DarkTerraCotta-bg{background-color:#CC4E5C;}</v>
      </c>
    </row>
    <row r="326" spans="2:16" ht="15.75">
      <c r="B326" s="1" t="s">
        <v>834</v>
      </c>
      <c r="C326" t="s">
        <v>835</v>
      </c>
      <c r="D326">
        <v>0</v>
      </c>
      <c r="E326">
        <v>206.55</v>
      </c>
      <c r="F326">
        <v>0</v>
      </c>
      <c r="G326" t="str">
        <f t="shared" si="45"/>
        <v>DarkTurquoise</v>
      </c>
      <c r="H326" t="str">
        <f t="shared" si="46"/>
        <v>00CED1</v>
      </c>
      <c r="I326" t="str">
        <f t="shared" si="47"/>
        <v>00</v>
      </c>
      <c r="J326" t="str">
        <f t="shared" si="48"/>
        <v>CE</v>
      </c>
      <c r="K326" t="str">
        <f t="shared" si="49"/>
        <v>D1</v>
      </c>
      <c r="L326">
        <f t="shared" si="50"/>
        <v>0</v>
      </c>
      <c r="M326">
        <f t="shared" si="51"/>
        <v>206</v>
      </c>
      <c r="N326">
        <f t="shared" si="52"/>
        <v>209</v>
      </c>
      <c r="P326" t="str">
        <f t="shared" si="53"/>
        <v>.DarkTurquoise-bg{background-color:#00CED1;}</v>
      </c>
    </row>
    <row r="327" spans="2:16" ht="15.75">
      <c r="B327" s="1" t="s">
        <v>836</v>
      </c>
      <c r="C327" t="s">
        <v>837</v>
      </c>
      <c r="D327">
        <v>209.1</v>
      </c>
      <c r="E327">
        <v>191.25</v>
      </c>
      <c r="F327">
        <v>209.1</v>
      </c>
      <c r="G327" t="str">
        <f t="shared" si="45"/>
        <v>DarkVanilla</v>
      </c>
      <c r="H327" t="str">
        <f t="shared" si="46"/>
        <v>D1BEA8</v>
      </c>
      <c r="I327" t="str">
        <f t="shared" si="47"/>
        <v>D1</v>
      </c>
      <c r="J327" t="str">
        <f t="shared" si="48"/>
        <v>BE</v>
      </c>
      <c r="K327" t="str">
        <f t="shared" si="49"/>
        <v>A8</v>
      </c>
      <c r="L327">
        <f t="shared" si="50"/>
        <v>209</v>
      </c>
      <c r="M327">
        <f t="shared" si="51"/>
        <v>190</v>
      </c>
      <c r="N327">
        <f t="shared" si="52"/>
        <v>168</v>
      </c>
      <c r="P327" t="str">
        <f t="shared" si="53"/>
        <v>.DarkVanilla-bg{background-color:#D1BEA8;}</v>
      </c>
    </row>
    <row r="328" spans="2:16" ht="15.75">
      <c r="B328" s="1" t="s">
        <v>838</v>
      </c>
      <c r="C328" t="s">
        <v>839</v>
      </c>
      <c r="D328">
        <v>147.9</v>
      </c>
      <c r="E328">
        <v>0</v>
      </c>
      <c r="F328">
        <v>147.9</v>
      </c>
      <c r="G328" t="str">
        <f t="shared" si="45"/>
        <v>DarkViolet</v>
      </c>
      <c r="H328" t="str">
        <f t="shared" si="46"/>
        <v>9400D3</v>
      </c>
      <c r="I328" t="str">
        <f t="shared" si="47"/>
        <v>94</v>
      </c>
      <c r="J328" t="str">
        <f t="shared" si="48"/>
        <v>00</v>
      </c>
      <c r="K328" t="str">
        <f t="shared" si="49"/>
        <v>D3</v>
      </c>
      <c r="L328">
        <f t="shared" si="50"/>
        <v>148</v>
      </c>
      <c r="M328">
        <f t="shared" si="51"/>
        <v>0</v>
      </c>
      <c r="N328">
        <f t="shared" si="52"/>
        <v>211</v>
      </c>
      <c r="P328" t="str">
        <f t="shared" si="53"/>
        <v>.DarkViolet-bg{background-color:#9400D3;}</v>
      </c>
    </row>
    <row r="329" spans="2:16" ht="15.75">
      <c r="B329" s="1" t="s">
        <v>840</v>
      </c>
      <c r="C329" t="s">
        <v>841</v>
      </c>
      <c r="D329">
        <v>155.55000000000001</v>
      </c>
      <c r="E329">
        <v>135.15</v>
      </c>
      <c r="F329">
        <v>155.55000000000001</v>
      </c>
      <c r="G329" t="str">
        <f t="shared" si="45"/>
        <v>DarkYellow</v>
      </c>
      <c r="H329" t="str">
        <f t="shared" si="46"/>
        <v>9B870C</v>
      </c>
      <c r="I329" t="str">
        <f t="shared" si="47"/>
        <v>9B</v>
      </c>
      <c r="J329" t="str">
        <f t="shared" si="48"/>
        <v>87</v>
      </c>
      <c r="K329" t="str">
        <f t="shared" si="49"/>
        <v>0C</v>
      </c>
      <c r="L329">
        <f t="shared" si="50"/>
        <v>155</v>
      </c>
      <c r="M329">
        <f t="shared" si="51"/>
        <v>135</v>
      </c>
      <c r="N329">
        <f t="shared" si="52"/>
        <v>12</v>
      </c>
      <c r="P329" t="str">
        <f t="shared" si="53"/>
        <v>.DarkYellow-bg{background-color:#9B870C;}</v>
      </c>
    </row>
    <row r="330" spans="2:16" ht="15.75">
      <c r="B330" s="1" t="s">
        <v>842</v>
      </c>
      <c r="C330" t="s">
        <v>843</v>
      </c>
      <c r="D330">
        <v>0</v>
      </c>
      <c r="E330">
        <v>112.2</v>
      </c>
      <c r="F330">
        <v>0</v>
      </c>
      <c r="G330" t="str">
        <f t="shared" si="45"/>
        <v>DartmouthGreen</v>
      </c>
      <c r="H330" t="str">
        <f t="shared" si="46"/>
        <v>00703C</v>
      </c>
      <c r="I330" t="str">
        <f t="shared" si="47"/>
        <v>00</v>
      </c>
      <c r="J330" t="str">
        <f t="shared" si="48"/>
        <v>70</v>
      </c>
      <c r="K330" t="str">
        <f t="shared" si="49"/>
        <v>3C</v>
      </c>
      <c r="L330">
        <f t="shared" si="50"/>
        <v>0</v>
      </c>
      <c r="M330">
        <f t="shared" si="51"/>
        <v>112</v>
      </c>
      <c r="N330">
        <f t="shared" si="52"/>
        <v>60</v>
      </c>
      <c r="P330" t="str">
        <f t="shared" si="53"/>
        <v>.DartmouthGreen-bg{background-color:#00703C;}</v>
      </c>
    </row>
    <row r="331" spans="2:16" ht="15.75">
      <c r="B331" s="1" t="s">
        <v>844</v>
      </c>
      <c r="C331" t="s">
        <v>845</v>
      </c>
      <c r="D331">
        <v>84.15</v>
      </c>
      <c r="E331">
        <v>84.15</v>
      </c>
      <c r="F331">
        <v>84.15</v>
      </c>
      <c r="G331" t="str">
        <f t="shared" si="45"/>
        <v>DavysGrey</v>
      </c>
      <c r="H331" t="str">
        <f t="shared" si="46"/>
        <v>555555</v>
      </c>
      <c r="I331" t="str">
        <f t="shared" si="47"/>
        <v>55</v>
      </c>
      <c r="J331" t="str">
        <f t="shared" si="48"/>
        <v>55</v>
      </c>
      <c r="K331" t="str">
        <f t="shared" si="49"/>
        <v>55</v>
      </c>
      <c r="L331">
        <f t="shared" si="50"/>
        <v>85</v>
      </c>
      <c r="M331">
        <f t="shared" si="51"/>
        <v>85</v>
      </c>
      <c r="N331">
        <f t="shared" si="52"/>
        <v>85</v>
      </c>
      <c r="P331" t="str">
        <f t="shared" si="53"/>
        <v>.DavysGrey-bg{background-color:#555555;}</v>
      </c>
    </row>
    <row r="332" spans="2:16" ht="15.75">
      <c r="B332" s="1" t="s">
        <v>846</v>
      </c>
      <c r="C332" t="s">
        <v>847</v>
      </c>
      <c r="D332">
        <v>214.2</v>
      </c>
      <c r="E332">
        <v>10.199999999999999</v>
      </c>
      <c r="F332">
        <v>214.2</v>
      </c>
      <c r="G332" t="str">
        <f t="shared" si="45"/>
        <v>DebianRed</v>
      </c>
      <c r="H332" t="str">
        <f t="shared" si="46"/>
        <v>D70A53</v>
      </c>
      <c r="I332" t="str">
        <f t="shared" si="47"/>
        <v>D7</v>
      </c>
      <c r="J332" t="str">
        <f t="shared" si="48"/>
        <v>0A</v>
      </c>
      <c r="K332" t="str">
        <f t="shared" si="49"/>
        <v>53</v>
      </c>
      <c r="L332">
        <f t="shared" si="50"/>
        <v>215</v>
      </c>
      <c r="M332">
        <f t="shared" si="51"/>
        <v>10</v>
      </c>
      <c r="N332">
        <f t="shared" si="52"/>
        <v>83</v>
      </c>
      <c r="P332" t="str">
        <f t="shared" si="53"/>
        <v>.DebianRed-bg{background-color:#D70A53;}</v>
      </c>
    </row>
    <row r="333" spans="2:16" ht="15.75">
      <c r="B333" s="1" t="s">
        <v>848</v>
      </c>
      <c r="C333" t="s">
        <v>849</v>
      </c>
      <c r="D333">
        <v>63.75</v>
      </c>
      <c r="E333">
        <v>130.05000000000001</v>
      </c>
      <c r="F333">
        <v>63.75</v>
      </c>
      <c r="G333" t="str">
        <f t="shared" si="45"/>
        <v>DeepAquamarine</v>
      </c>
      <c r="H333" t="str">
        <f t="shared" si="46"/>
        <v>40826D</v>
      </c>
      <c r="I333" t="str">
        <f t="shared" si="47"/>
        <v>40</v>
      </c>
      <c r="J333" t="str">
        <f t="shared" si="48"/>
        <v>82</v>
      </c>
      <c r="K333" t="str">
        <f t="shared" si="49"/>
        <v>6D</v>
      </c>
      <c r="L333">
        <f t="shared" si="50"/>
        <v>64</v>
      </c>
      <c r="M333">
        <f t="shared" si="51"/>
        <v>130</v>
      </c>
      <c r="N333">
        <f t="shared" si="52"/>
        <v>109</v>
      </c>
      <c r="P333" t="str">
        <f t="shared" si="53"/>
        <v>.DeepAquamarine-bg{background-color:#40826D;}</v>
      </c>
    </row>
    <row r="334" spans="2:16" ht="15.75">
      <c r="B334" s="1" t="s">
        <v>850</v>
      </c>
      <c r="C334" t="s">
        <v>851</v>
      </c>
      <c r="D334">
        <v>168.3</v>
      </c>
      <c r="E334">
        <v>33.15</v>
      </c>
      <c r="F334">
        <v>168.3</v>
      </c>
      <c r="G334" t="str">
        <f t="shared" si="45"/>
        <v>DeepCarmine</v>
      </c>
      <c r="H334" t="str">
        <f t="shared" si="46"/>
        <v>A9203E</v>
      </c>
      <c r="I334" t="str">
        <f t="shared" si="47"/>
        <v>A9</v>
      </c>
      <c r="J334" t="str">
        <f t="shared" si="48"/>
        <v>20</v>
      </c>
      <c r="K334" t="str">
        <f t="shared" si="49"/>
        <v>3E</v>
      </c>
      <c r="L334">
        <f t="shared" si="50"/>
        <v>169</v>
      </c>
      <c r="M334">
        <f t="shared" si="51"/>
        <v>32</v>
      </c>
      <c r="N334">
        <f t="shared" si="52"/>
        <v>62</v>
      </c>
      <c r="P334" t="str">
        <f t="shared" si="53"/>
        <v>.DeepCarmine-bg{background-color:#A9203E;}</v>
      </c>
    </row>
    <row r="335" spans="2:16" ht="15.75">
      <c r="B335" s="1" t="s">
        <v>852</v>
      </c>
      <c r="C335" t="s">
        <v>853</v>
      </c>
      <c r="D335">
        <v>239.7</v>
      </c>
      <c r="E335">
        <v>48.45</v>
      </c>
      <c r="F335">
        <v>239.7</v>
      </c>
      <c r="G335" t="str">
        <f t="shared" si="45"/>
        <v>DeepCarminePink</v>
      </c>
      <c r="H335" t="str">
        <f t="shared" si="46"/>
        <v>EF3038</v>
      </c>
      <c r="I335" t="str">
        <f t="shared" si="47"/>
        <v>EF</v>
      </c>
      <c r="J335" t="str">
        <f t="shared" si="48"/>
        <v>30</v>
      </c>
      <c r="K335" t="str">
        <f t="shared" si="49"/>
        <v>38</v>
      </c>
      <c r="L335">
        <f t="shared" si="50"/>
        <v>239</v>
      </c>
      <c r="M335">
        <f t="shared" si="51"/>
        <v>48</v>
      </c>
      <c r="N335">
        <f t="shared" si="52"/>
        <v>56</v>
      </c>
      <c r="P335" t="str">
        <f t="shared" si="53"/>
        <v>.DeepCarminePink-bg{background-color:#EF3038;}</v>
      </c>
    </row>
    <row r="336" spans="2:16" ht="15.75">
      <c r="B336" s="1" t="s">
        <v>854</v>
      </c>
      <c r="C336" t="s">
        <v>855</v>
      </c>
      <c r="D336">
        <v>232.05</v>
      </c>
      <c r="E336">
        <v>104.55</v>
      </c>
      <c r="F336">
        <v>232.05</v>
      </c>
      <c r="G336" t="str">
        <f t="shared" si="45"/>
        <v>DeepCarrotOrange</v>
      </c>
      <c r="H336" t="str">
        <f t="shared" si="46"/>
        <v>E9692C</v>
      </c>
      <c r="I336" t="str">
        <f t="shared" si="47"/>
        <v>E9</v>
      </c>
      <c r="J336" t="str">
        <f t="shared" si="48"/>
        <v>69</v>
      </c>
      <c r="K336" t="str">
        <f t="shared" si="49"/>
        <v>2C</v>
      </c>
      <c r="L336">
        <f t="shared" si="50"/>
        <v>233</v>
      </c>
      <c r="M336">
        <f t="shared" si="51"/>
        <v>105</v>
      </c>
      <c r="N336">
        <f t="shared" si="52"/>
        <v>44</v>
      </c>
      <c r="P336" t="str">
        <f t="shared" si="53"/>
        <v>.DeepCarrotOrange-bg{background-color:#E9692C;}</v>
      </c>
    </row>
    <row r="337" spans="2:16" ht="15.75">
      <c r="B337" s="1" t="s">
        <v>856</v>
      </c>
      <c r="C337" t="s">
        <v>857</v>
      </c>
      <c r="D337">
        <v>216.75</v>
      </c>
      <c r="E337">
        <v>51</v>
      </c>
      <c r="F337">
        <v>216.75</v>
      </c>
      <c r="G337" t="str">
        <f t="shared" si="45"/>
        <v>DeepCerise</v>
      </c>
      <c r="H337" t="str">
        <f t="shared" si="46"/>
        <v>DA3287</v>
      </c>
      <c r="I337" t="str">
        <f t="shared" si="47"/>
        <v>DA</v>
      </c>
      <c r="J337" t="str">
        <f t="shared" si="48"/>
        <v>32</v>
      </c>
      <c r="K337" t="str">
        <f t="shared" si="49"/>
        <v>87</v>
      </c>
      <c r="L337">
        <f t="shared" si="50"/>
        <v>218</v>
      </c>
      <c r="M337">
        <f t="shared" si="51"/>
        <v>50</v>
      </c>
      <c r="N337">
        <f t="shared" si="52"/>
        <v>135</v>
      </c>
      <c r="P337" t="str">
        <f t="shared" si="53"/>
        <v>.DeepCerise-bg{background-color:#DA3287;}</v>
      </c>
    </row>
    <row r="338" spans="2:16" ht="15.75">
      <c r="B338" s="1" t="s">
        <v>858</v>
      </c>
      <c r="C338" t="s">
        <v>859</v>
      </c>
      <c r="D338">
        <v>249.9</v>
      </c>
      <c r="E338">
        <v>214.2</v>
      </c>
      <c r="F338">
        <v>249.9</v>
      </c>
      <c r="G338" t="str">
        <f t="shared" si="45"/>
        <v>DeepChampagne</v>
      </c>
      <c r="H338" t="str">
        <f t="shared" si="46"/>
        <v>FAD6A5</v>
      </c>
      <c r="I338" t="str">
        <f t="shared" si="47"/>
        <v>FA</v>
      </c>
      <c r="J338" t="str">
        <f t="shared" si="48"/>
        <v>D6</v>
      </c>
      <c r="K338" t="str">
        <f t="shared" si="49"/>
        <v>A5</v>
      </c>
      <c r="L338">
        <f t="shared" si="50"/>
        <v>250</v>
      </c>
      <c r="M338">
        <f t="shared" si="51"/>
        <v>214</v>
      </c>
      <c r="N338">
        <f t="shared" si="52"/>
        <v>165</v>
      </c>
      <c r="P338" t="str">
        <f t="shared" si="53"/>
        <v>.DeepChampagne-bg{background-color:#FAD6A5;}</v>
      </c>
    </row>
    <row r="339" spans="2:16" ht="15.75">
      <c r="B339" s="1" t="s">
        <v>860</v>
      </c>
      <c r="C339" t="s">
        <v>861</v>
      </c>
      <c r="D339">
        <v>186.15</v>
      </c>
      <c r="E339">
        <v>79.05</v>
      </c>
      <c r="F339">
        <v>186.15</v>
      </c>
      <c r="G339" t="str">
        <f t="shared" si="45"/>
        <v>DeepChestnut</v>
      </c>
      <c r="H339" t="str">
        <f t="shared" si="46"/>
        <v>B94E48</v>
      </c>
      <c r="I339" t="str">
        <f t="shared" si="47"/>
        <v>B9</v>
      </c>
      <c r="J339" t="str">
        <f t="shared" si="48"/>
        <v>4E</v>
      </c>
      <c r="K339" t="str">
        <f t="shared" si="49"/>
        <v>48</v>
      </c>
      <c r="L339">
        <f t="shared" si="50"/>
        <v>185</v>
      </c>
      <c r="M339">
        <f t="shared" si="51"/>
        <v>78</v>
      </c>
      <c r="N339">
        <f t="shared" si="52"/>
        <v>72</v>
      </c>
      <c r="P339" t="str">
        <f t="shared" si="53"/>
        <v>.DeepChestnut-bg{background-color:#B94E48;}</v>
      </c>
    </row>
    <row r="340" spans="2:16" ht="15.75">
      <c r="B340" s="1" t="s">
        <v>862</v>
      </c>
      <c r="C340" t="s">
        <v>863</v>
      </c>
      <c r="D340">
        <v>112.2</v>
      </c>
      <c r="E340">
        <v>66.3</v>
      </c>
      <c r="F340">
        <v>112.2</v>
      </c>
      <c r="G340" t="str">
        <f t="shared" si="45"/>
        <v>DeepCoffee</v>
      </c>
      <c r="H340" t="str">
        <f t="shared" si="46"/>
        <v>704241</v>
      </c>
      <c r="I340" t="str">
        <f t="shared" si="47"/>
        <v>70</v>
      </c>
      <c r="J340" t="str">
        <f t="shared" si="48"/>
        <v>42</v>
      </c>
      <c r="K340" t="str">
        <f t="shared" si="49"/>
        <v>41</v>
      </c>
      <c r="L340">
        <f t="shared" si="50"/>
        <v>112</v>
      </c>
      <c r="M340">
        <f t="shared" si="51"/>
        <v>66</v>
      </c>
      <c r="N340">
        <f t="shared" si="52"/>
        <v>65</v>
      </c>
      <c r="P340" t="str">
        <f t="shared" si="53"/>
        <v>.DeepCoffee-bg{background-color:#704241;}</v>
      </c>
    </row>
    <row r="341" spans="2:16" ht="15.75">
      <c r="B341" s="1" t="s">
        <v>864</v>
      </c>
      <c r="C341" t="s">
        <v>865</v>
      </c>
      <c r="D341">
        <v>193.8</v>
      </c>
      <c r="E341">
        <v>84.15</v>
      </c>
      <c r="F341">
        <v>193.8</v>
      </c>
      <c r="G341" t="str">
        <f t="shared" si="45"/>
        <v>DeepFuchsia</v>
      </c>
      <c r="H341" t="str">
        <f t="shared" si="46"/>
        <v>C154C1</v>
      </c>
      <c r="I341" t="str">
        <f t="shared" si="47"/>
        <v>C1</v>
      </c>
      <c r="J341" t="str">
        <f t="shared" si="48"/>
        <v>54</v>
      </c>
      <c r="K341" t="str">
        <f t="shared" si="49"/>
        <v>C1</v>
      </c>
      <c r="L341">
        <f t="shared" si="50"/>
        <v>193</v>
      </c>
      <c r="M341">
        <f t="shared" si="51"/>
        <v>84</v>
      </c>
      <c r="N341">
        <f t="shared" si="52"/>
        <v>193</v>
      </c>
      <c r="P341" t="str">
        <f t="shared" si="53"/>
        <v>.DeepFuchsia-bg{background-color:#C154C1;}</v>
      </c>
    </row>
    <row r="342" spans="2:16" ht="15.75">
      <c r="B342" s="1" t="s">
        <v>866</v>
      </c>
      <c r="C342" t="s">
        <v>867</v>
      </c>
      <c r="D342">
        <v>5.0999999999999996</v>
      </c>
      <c r="E342">
        <v>102</v>
      </c>
      <c r="F342">
        <v>5.0999999999999996</v>
      </c>
      <c r="G342" t="str">
        <f t="shared" si="45"/>
        <v>DeepGreen</v>
      </c>
      <c r="H342" t="str">
        <f t="shared" si="46"/>
        <v>056608</v>
      </c>
      <c r="I342" t="str">
        <f t="shared" si="47"/>
        <v>05</v>
      </c>
      <c r="J342" t="str">
        <f t="shared" si="48"/>
        <v>66</v>
      </c>
      <c r="K342" t="str">
        <f t="shared" si="49"/>
        <v>08</v>
      </c>
      <c r="L342">
        <f t="shared" si="50"/>
        <v>5</v>
      </c>
      <c r="M342">
        <f t="shared" si="51"/>
        <v>102</v>
      </c>
      <c r="N342">
        <f t="shared" si="52"/>
        <v>8</v>
      </c>
      <c r="P342" t="str">
        <f t="shared" si="53"/>
        <v>.DeepGreen-bg{background-color:#056608;}</v>
      </c>
    </row>
    <row r="343" spans="2:16" ht="15.75">
      <c r="B343" s="1" t="s">
        <v>868</v>
      </c>
      <c r="C343" t="s">
        <v>869</v>
      </c>
      <c r="D343">
        <v>12.75</v>
      </c>
      <c r="E343">
        <v>124.95</v>
      </c>
      <c r="F343">
        <v>12.75</v>
      </c>
      <c r="G343" t="str">
        <f t="shared" si="45"/>
        <v>DeepGreencyanTurquoise</v>
      </c>
      <c r="H343" t="str">
        <f t="shared" si="46"/>
        <v>0E7C61</v>
      </c>
      <c r="I343" t="str">
        <f t="shared" si="47"/>
        <v>0E</v>
      </c>
      <c r="J343" t="str">
        <f t="shared" si="48"/>
        <v>7C</v>
      </c>
      <c r="K343" t="str">
        <f t="shared" si="49"/>
        <v>61</v>
      </c>
      <c r="L343">
        <f t="shared" si="50"/>
        <v>14</v>
      </c>
      <c r="M343">
        <f t="shared" si="51"/>
        <v>124</v>
      </c>
      <c r="N343">
        <f t="shared" si="52"/>
        <v>97</v>
      </c>
      <c r="P343" t="str">
        <f t="shared" si="53"/>
        <v>.DeepGreencyanTurquoise-bg{background-color:#0E7C61;}</v>
      </c>
    </row>
    <row r="344" spans="2:16" ht="15.75">
      <c r="B344" s="1" t="s">
        <v>870</v>
      </c>
      <c r="C344" t="s">
        <v>871</v>
      </c>
      <c r="D344">
        <v>0</v>
      </c>
      <c r="E344">
        <v>73.95</v>
      </c>
      <c r="F344">
        <v>0</v>
      </c>
      <c r="G344" t="str">
        <f t="shared" si="45"/>
        <v>DeepJungleGreen</v>
      </c>
      <c r="H344" t="str">
        <f t="shared" si="46"/>
        <v>004B49</v>
      </c>
      <c r="I344" t="str">
        <f t="shared" si="47"/>
        <v>00</v>
      </c>
      <c r="J344" t="str">
        <f t="shared" si="48"/>
        <v>4B</v>
      </c>
      <c r="K344" t="str">
        <f t="shared" si="49"/>
        <v>49</v>
      </c>
      <c r="L344">
        <f t="shared" si="50"/>
        <v>0</v>
      </c>
      <c r="M344">
        <f t="shared" si="51"/>
        <v>75</v>
      </c>
      <c r="N344">
        <f t="shared" si="52"/>
        <v>73</v>
      </c>
      <c r="P344" t="str">
        <f t="shared" si="53"/>
        <v>.DeepJungleGreen-bg{background-color:#004B49;}</v>
      </c>
    </row>
    <row r="345" spans="2:16" ht="15.75">
      <c r="B345" s="1" t="s">
        <v>872</v>
      </c>
      <c r="C345" t="s">
        <v>873</v>
      </c>
      <c r="D345">
        <v>51</v>
      </c>
      <c r="E345">
        <v>51</v>
      </c>
      <c r="F345">
        <v>51</v>
      </c>
      <c r="G345" t="str">
        <f t="shared" si="45"/>
        <v>DeepKoamaru</v>
      </c>
      <c r="H345" t="str">
        <f t="shared" si="46"/>
        <v>333366</v>
      </c>
      <c r="I345" t="str">
        <f t="shared" si="47"/>
        <v>33</v>
      </c>
      <c r="J345" t="str">
        <f t="shared" si="48"/>
        <v>33</v>
      </c>
      <c r="K345" t="str">
        <f t="shared" si="49"/>
        <v>66</v>
      </c>
      <c r="L345">
        <f t="shared" si="50"/>
        <v>51</v>
      </c>
      <c r="M345">
        <f t="shared" si="51"/>
        <v>51</v>
      </c>
      <c r="N345">
        <f t="shared" si="52"/>
        <v>102</v>
      </c>
      <c r="P345" t="str">
        <f t="shared" si="53"/>
        <v>.DeepKoamaru-bg{background-color:#333366;}</v>
      </c>
    </row>
    <row r="346" spans="2:16" ht="15.75">
      <c r="B346" s="1" t="s">
        <v>874</v>
      </c>
      <c r="C346" t="s">
        <v>875</v>
      </c>
      <c r="D346">
        <v>244.8</v>
      </c>
      <c r="E346">
        <v>198.9</v>
      </c>
      <c r="F346">
        <v>244.8</v>
      </c>
      <c r="G346" t="str">
        <f t="shared" si="45"/>
        <v>DeepLemon</v>
      </c>
      <c r="H346" t="str">
        <f t="shared" si="46"/>
        <v>F5C71A</v>
      </c>
      <c r="I346" t="str">
        <f t="shared" si="47"/>
        <v>F5</v>
      </c>
      <c r="J346" t="str">
        <f t="shared" si="48"/>
        <v>C7</v>
      </c>
      <c r="K346" t="str">
        <f t="shared" si="49"/>
        <v>1A</v>
      </c>
      <c r="L346">
        <f t="shared" si="50"/>
        <v>245</v>
      </c>
      <c r="M346">
        <f t="shared" si="51"/>
        <v>199</v>
      </c>
      <c r="N346">
        <f t="shared" si="52"/>
        <v>26</v>
      </c>
      <c r="P346" t="str">
        <f t="shared" si="53"/>
        <v>.DeepLemon-bg{background-color:#F5C71A;}</v>
      </c>
    </row>
    <row r="347" spans="2:16" ht="15.75">
      <c r="B347" s="1" t="s">
        <v>876</v>
      </c>
      <c r="C347" t="s">
        <v>877</v>
      </c>
      <c r="D347">
        <v>153</v>
      </c>
      <c r="E347">
        <v>84.15</v>
      </c>
      <c r="F347">
        <v>153</v>
      </c>
      <c r="G347" t="str">
        <f t="shared" si="45"/>
        <v>DeepLilac</v>
      </c>
      <c r="H347" t="str">
        <f t="shared" si="46"/>
        <v>9955BB</v>
      </c>
      <c r="I347" t="str">
        <f t="shared" si="47"/>
        <v>99</v>
      </c>
      <c r="J347" t="str">
        <f t="shared" si="48"/>
        <v>55</v>
      </c>
      <c r="K347" t="str">
        <f t="shared" si="49"/>
        <v>BB</v>
      </c>
      <c r="L347">
        <f t="shared" si="50"/>
        <v>153</v>
      </c>
      <c r="M347">
        <f t="shared" si="51"/>
        <v>85</v>
      </c>
      <c r="N347">
        <f t="shared" si="52"/>
        <v>187</v>
      </c>
      <c r="P347" t="str">
        <f t="shared" si="53"/>
        <v>.DeepLilac-bg{background-color:#9955BB;}</v>
      </c>
    </row>
    <row r="348" spans="2:16" ht="15.75">
      <c r="B348" s="1" t="s">
        <v>878</v>
      </c>
      <c r="C348" t="s">
        <v>879</v>
      </c>
      <c r="D348">
        <v>204</v>
      </c>
      <c r="E348">
        <v>0</v>
      </c>
      <c r="F348">
        <v>204</v>
      </c>
      <c r="G348" t="str">
        <f t="shared" si="45"/>
        <v>DeepMagenta</v>
      </c>
      <c r="H348" t="str">
        <f t="shared" si="46"/>
        <v>CC00CC</v>
      </c>
      <c r="I348" t="str">
        <f t="shared" si="47"/>
        <v>CC</v>
      </c>
      <c r="J348" t="str">
        <f t="shared" si="48"/>
        <v>00</v>
      </c>
      <c r="K348" t="str">
        <f t="shared" si="49"/>
        <v>CC</v>
      </c>
      <c r="L348">
        <f t="shared" si="50"/>
        <v>204</v>
      </c>
      <c r="M348">
        <f t="shared" si="51"/>
        <v>0</v>
      </c>
      <c r="N348">
        <f t="shared" si="52"/>
        <v>204</v>
      </c>
      <c r="P348" t="str">
        <f t="shared" si="53"/>
        <v>.DeepMagenta-bg{background-color:#CC00CC;}</v>
      </c>
    </row>
    <row r="349" spans="2:16" ht="15.75">
      <c r="B349" s="1" t="s">
        <v>880</v>
      </c>
      <c r="C349" t="s">
        <v>881</v>
      </c>
      <c r="D349">
        <v>130.05000000000001</v>
      </c>
      <c r="E349">
        <v>0</v>
      </c>
      <c r="F349">
        <v>130.05000000000001</v>
      </c>
      <c r="G349" t="str">
        <f t="shared" si="45"/>
        <v>DeepMaroon</v>
      </c>
      <c r="H349" t="str">
        <f t="shared" si="46"/>
        <v>820000</v>
      </c>
      <c r="I349" t="str">
        <f t="shared" si="47"/>
        <v>82</v>
      </c>
      <c r="J349" t="str">
        <f t="shared" si="48"/>
        <v>00</v>
      </c>
      <c r="K349" t="str">
        <f t="shared" si="49"/>
        <v>00</v>
      </c>
      <c r="L349">
        <f t="shared" si="50"/>
        <v>130</v>
      </c>
      <c r="M349">
        <f t="shared" si="51"/>
        <v>0</v>
      </c>
      <c r="N349">
        <f t="shared" si="52"/>
        <v>0</v>
      </c>
      <c r="P349" t="str">
        <f t="shared" si="53"/>
        <v>.DeepMaroon-bg{background-color:#820000;}</v>
      </c>
    </row>
    <row r="350" spans="2:16" ht="15.75">
      <c r="B350" s="1" t="s">
        <v>882</v>
      </c>
      <c r="C350" t="s">
        <v>883</v>
      </c>
      <c r="D350">
        <v>211.65</v>
      </c>
      <c r="E350">
        <v>114.75</v>
      </c>
      <c r="F350">
        <v>211.65</v>
      </c>
      <c r="G350" t="str">
        <f t="shared" si="45"/>
        <v>DeepMauve</v>
      </c>
      <c r="H350" t="str">
        <f t="shared" si="46"/>
        <v>D473D4</v>
      </c>
      <c r="I350" t="str">
        <f t="shared" si="47"/>
        <v>D4</v>
      </c>
      <c r="J350" t="str">
        <f t="shared" si="48"/>
        <v>73</v>
      </c>
      <c r="K350" t="str">
        <f t="shared" si="49"/>
        <v>D4</v>
      </c>
      <c r="L350">
        <f t="shared" si="50"/>
        <v>212</v>
      </c>
      <c r="M350">
        <f t="shared" si="51"/>
        <v>115</v>
      </c>
      <c r="N350">
        <f t="shared" si="52"/>
        <v>212</v>
      </c>
      <c r="P350" t="str">
        <f t="shared" si="53"/>
        <v>.DeepMauve-bg{background-color:#D473D4;}</v>
      </c>
    </row>
    <row r="351" spans="2:16" ht="15.75">
      <c r="B351" s="1" t="s">
        <v>884</v>
      </c>
      <c r="C351" t="s">
        <v>885</v>
      </c>
      <c r="D351">
        <v>53.55</v>
      </c>
      <c r="E351">
        <v>94.35</v>
      </c>
      <c r="F351">
        <v>53.55</v>
      </c>
      <c r="G351" t="str">
        <f t="shared" si="45"/>
        <v>DeepMossGreen</v>
      </c>
      <c r="H351" t="str">
        <f t="shared" si="46"/>
        <v>355E3B</v>
      </c>
      <c r="I351" t="str">
        <f t="shared" si="47"/>
        <v>35</v>
      </c>
      <c r="J351" t="str">
        <f t="shared" si="48"/>
        <v>5E</v>
      </c>
      <c r="K351" t="str">
        <f t="shared" si="49"/>
        <v>3B</v>
      </c>
      <c r="L351">
        <f t="shared" si="50"/>
        <v>53</v>
      </c>
      <c r="M351">
        <f t="shared" si="51"/>
        <v>94</v>
      </c>
      <c r="N351">
        <f t="shared" si="52"/>
        <v>59</v>
      </c>
      <c r="P351" t="str">
        <f t="shared" si="53"/>
        <v>.DeepMossGreen-bg{background-color:#355E3B;}</v>
      </c>
    </row>
    <row r="352" spans="2:16" ht="15.75">
      <c r="B352" s="1" t="s">
        <v>886</v>
      </c>
      <c r="C352" t="s">
        <v>887</v>
      </c>
      <c r="D352">
        <v>255</v>
      </c>
      <c r="E352">
        <v>204</v>
      </c>
      <c r="F352">
        <v>255</v>
      </c>
      <c r="G352" t="str">
        <f t="shared" si="45"/>
        <v>DeepPeach</v>
      </c>
      <c r="H352" t="str">
        <f t="shared" si="46"/>
        <v>FFCBA4</v>
      </c>
      <c r="I352" t="str">
        <f t="shared" si="47"/>
        <v>FF</v>
      </c>
      <c r="J352" t="str">
        <f t="shared" si="48"/>
        <v>CB</v>
      </c>
      <c r="K352" t="str">
        <f t="shared" si="49"/>
        <v>A4</v>
      </c>
      <c r="L352">
        <f t="shared" si="50"/>
        <v>255</v>
      </c>
      <c r="M352">
        <f t="shared" si="51"/>
        <v>203</v>
      </c>
      <c r="N352">
        <f t="shared" si="52"/>
        <v>164</v>
      </c>
      <c r="P352" t="str">
        <f t="shared" si="53"/>
        <v>.DeepPeach-bg{background-color:#FFCBA4;}</v>
      </c>
    </row>
    <row r="353" spans="2:16" ht="15.75">
      <c r="B353" s="1" t="s">
        <v>888</v>
      </c>
      <c r="C353" t="s">
        <v>889</v>
      </c>
      <c r="D353">
        <v>255</v>
      </c>
      <c r="E353">
        <v>20.399999999999999</v>
      </c>
      <c r="F353">
        <v>255</v>
      </c>
      <c r="G353" t="str">
        <f t="shared" si="45"/>
        <v>DeepPink</v>
      </c>
      <c r="H353" t="str">
        <f t="shared" si="46"/>
        <v>FF1493</v>
      </c>
      <c r="I353" t="str">
        <f t="shared" si="47"/>
        <v>FF</v>
      </c>
      <c r="J353" t="str">
        <f t="shared" si="48"/>
        <v>14</v>
      </c>
      <c r="K353" t="str">
        <f t="shared" si="49"/>
        <v>93</v>
      </c>
      <c r="L353">
        <f t="shared" si="50"/>
        <v>255</v>
      </c>
      <c r="M353">
        <f t="shared" si="51"/>
        <v>20</v>
      </c>
      <c r="N353">
        <f t="shared" si="52"/>
        <v>147</v>
      </c>
      <c r="P353" t="str">
        <f t="shared" si="53"/>
        <v>.DeepPink-bg{background-color:#FF1493;}</v>
      </c>
    </row>
    <row r="354" spans="2:16" ht="15.75">
      <c r="B354" s="1" t="s">
        <v>890</v>
      </c>
      <c r="C354" t="s">
        <v>891</v>
      </c>
      <c r="D354">
        <v>168.3</v>
      </c>
      <c r="E354">
        <v>91.8</v>
      </c>
      <c r="F354">
        <v>168.3</v>
      </c>
      <c r="G354" t="str">
        <f t="shared" si="45"/>
        <v>DeepPuce</v>
      </c>
      <c r="H354" t="str">
        <f t="shared" si="46"/>
        <v>A95C68</v>
      </c>
      <c r="I354" t="str">
        <f t="shared" si="47"/>
        <v>A9</v>
      </c>
      <c r="J354" t="str">
        <f t="shared" si="48"/>
        <v>5C</v>
      </c>
      <c r="K354" t="str">
        <f t="shared" si="49"/>
        <v>68</v>
      </c>
      <c r="L354">
        <f t="shared" si="50"/>
        <v>169</v>
      </c>
      <c r="M354">
        <f t="shared" si="51"/>
        <v>92</v>
      </c>
      <c r="N354">
        <f t="shared" si="52"/>
        <v>104</v>
      </c>
      <c r="P354" t="str">
        <f t="shared" si="53"/>
        <v>.DeepPuce-bg{background-color:#A95C68;}</v>
      </c>
    </row>
    <row r="355" spans="2:16" ht="15.75">
      <c r="B355" s="1" t="s">
        <v>892</v>
      </c>
      <c r="C355" t="s">
        <v>893</v>
      </c>
      <c r="D355">
        <v>132.6</v>
      </c>
      <c r="E355">
        <v>0</v>
      </c>
      <c r="F355">
        <v>132.6</v>
      </c>
      <c r="G355" t="str">
        <f t="shared" si="45"/>
        <v>DeepRed</v>
      </c>
      <c r="H355" t="str">
        <f t="shared" si="46"/>
        <v>850101</v>
      </c>
      <c r="I355" t="str">
        <f t="shared" si="47"/>
        <v>85</v>
      </c>
      <c r="J355" t="str">
        <f t="shared" si="48"/>
        <v>01</v>
      </c>
      <c r="K355" t="str">
        <f t="shared" si="49"/>
        <v>01</v>
      </c>
      <c r="L355">
        <f t="shared" si="50"/>
        <v>133</v>
      </c>
      <c r="M355">
        <f t="shared" si="51"/>
        <v>1</v>
      </c>
      <c r="N355">
        <f t="shared" si="52"/>
        <v>1</v>
      </c>
      <c r="P355" t="str">
        <f t="shared" si="53"/>
        <v>.DeepRed-bg{background-color:#850101;}</v>
      </c>
    </row>
    <row r="356" spans="2:16" ht="15.75">
      <c r="B356" s="1" t="s">
        <v>894</v>
      </c>
      <c r="C356" t="s">
        <v>895</v>
      </c>
      <c r="D356">
        <v>132.6</v>
      </c>
      <c r="E356">
        <v>63.75</v>
      </c>
      <c r="F356">
        <v>132.6</v>
      </c>
      <c r="G356" t="str">
        <f t="shared" si="45"/>
        <v>DeepRuby</v>
      </c>
      <c r="H356" t="str">
        <f t="shared" si="46"/>
        <v>843F5B</v>
      </c>
      <c r="I356" t="str">
        <f t="shared" si="47"/>
        <v>84</v>
      </c>
      <c r="J356" t="str">
        <f t="shared" si="48"/>
        <v>3F</v>
      </c>
      <c r="K356" t="str">
        <f t="shared" si="49"/>
        <v>5B</v>
      </c>
      <c r="L356">
        <f t="shared" si="50"/>
        <v>132</v>
      </c>
      <c r="M356">
        <f t="shared" si="51"/>
        <v>63</v>
      </c>
      <c r="N356">
        <f t="shared" si="52"/>
        <v>91</v>
      </c>
      <c r="P356" t="str">
        <f t="shared" si="53"/>
        <v>.DeepRuby-bg{background-color:#843F5B;}</v>
      </c>
    </row>
    <row r="357" spans="2:16" ht="15.75">
      <c r="B357" s="1" t="s">
        <v>896</v>
      </c>
      <c r="C357" t="s">
        <v>897</v>
      </c>
      <c r="D357">
        <v>255</v>
      </c>
      <c r="E357">
        <v>153</v>
      </c>
      <c r="F357">
        <v>255</v>
      </c>
      <c r="G357" t="str">
        <f t="shared" si="45"/>
        <v>DeepSaffron</v>
      </c>
      <c r="H357" t="str">
        <f t="shared" si="46"/>
        <v>FF9933</v>
      </c>
      <c r="I357" t="str">
        <f t="shared" si="47"/>
        <v>FF</v>
      </c>
      <c r="J357" t="str">
        <f t="shared" si="48"/>
        <v>99</v>
      </c>
      <c r="K357" t="str">
        <f t="shared" si="49"/>
        <v>33</v>
      </c>
      <c r="L357">
        <f t="shared" si="50"/>
        <v>255</v>
      </c>
      <c r="M357">
        <f t="shared" si="51"/>
        <v>153</v>
      </c>
      <c r="N357">
        <f t="shared" si="52"/>
        <v>51</v>
      </c>
      <c r="P357" t="str">
        <f t="shared" si="53"/>
        <v>.DeepSaffron-bg{background-color:#FF9933;}</v>
      </c>
    </row>
    <row r="358" spans="2:16" ht="15.75">
      <c r="B358" s="1" t="s">
        <v>898</v>
      </c>
      <c r="C358" t="s">
        <v>546</v>
      </c>
      <c r="D358">
        <v>0</v>
      </c>
      <c r="E358">
        <v>191.25</v>
      </c>
      <c r="F358">
        <v>0</v>
      </c>
      <c r="G358" t="str">
        <f t="shared" si="45"/>
        <v>DeepSkyBlue</v>
      </c>
      <c r="H358" t="str">
        <f t="shared" si="46"/>
        <v>00BFFF</v>
      </c>
      <c r="I358" t="str">
        <f t="shared" si="47"/>
        <v>00</v>
      </c>
      <c r="J358" t="str">
        <f t="shared" si="48"/>
        <v>BF</v>
      </c>
      <c r="K358" t="str">
        <f t="shared" si="49"/>
        <v>FF</v>
      </c>
      <c r="L358">
        <f t="shared" si="50"/>
        <v>0</v>
      </c>
      <c r="M358">
        <f t="shared" si="51"/>
        <v>191</v>
      </c>
      <c r="N358">
        <f t="shared" si="52"/>
        <v>255</v>
      </c>
      <c r="P358" t="str">
        <f t="shared" si="53"/>
        <v>.DeepSkyBlue-bg{background-color:#00BFFF;}</v>
      </c>
    </row>
    <row r="359" spans="2:16" ht="15.75">
      <c r="B359" s="1" t="s">
        <v>899</v>
      </c>
      <c r="C359" t="s">
        <v>900</v>
      </c>
      <c r="D359">
        <v>73.95</v>
      </c>
      <c r="E359">
        <v>99.45</v>
      </c>
      <c r="F359">
        <v>73.95</v>
      </c>
      <c r="G359" t="str">
        <f t="shared" si="45"/>
        <v>DeepSpaceSparkle</v>
      </c>
      <c r="H359" t="str">
        <f t="shared" si="46"/>
        <v>4A646C</v>
      </c>
      <c r="I359" t="str">
        <f t="shared" si="47"/>
        <v>4A</v>
      </c>
      <c r="J359" t="str">
        <f t="shared" si="48"/>
        <v>64</v>
      </c>
      <c r="K359" t="str">
        <f t="shared" si="49"/>
        <v>6C</v>
      </c>
      <c r="L359">
        <f t="shared" si="50"/>
        <v>74</v>
      </c>
      <c r="M359">
        <f t="shared" si="51"/>
        <v>100</v>
      </c>
      <c r="N359">
        <f t="shared" si="52"/>
        <v>108</v>
      </c>
      <c r="P359" t="str">
        <f t="shared" si="53"/>
        <v>.DeepSpaceSparkle-bg{background-color:#4A646C;}</v>
      </c>
    </row>
    <row r="360" spans="2:16" ht="15.75">
      <c r="B360" s="1" t="s">
        <v>901</v>
      </c>
      <c r="C360" t="s">
        <v>786</v>
      </c>
      <c r="D360">
        <v>84.15</v>
      </c>
      <c r="E360">
        <v>107.1</v>
      </c>
      <c r="F360">
        <v>84.15</v>
      </c>
      <c r="G360" t="str">
        <f t="shared" si="45"/>
        <v>DeepSpringBud</v>
      </c>
      <c r="H360" t="str">
        <f t="shared" si="46"/>
        <v>556B2F</v>
      </c>
      <c r="I360" t="str">
        <f t="shared" si="47"/>
        <v>55</v>
      </c>
      <c r="J360" t="str">
        <f t="shared" si="48"/>
        <v>6B</v>
      </c>
      <c r="K360" t="str">
        <f t="shared" si="49"/>
        <v>2F</v>
      </c>
      <c r="L360">
        <f t="shared" si="50"/>
        <v>85</v>
      </c>
      <c r="M360">
        <f t="shared" si="51"/>
        <v>107</v>
      </c>
      <c r="N360">
        <f t="shared" si="52"/>
        <v>47</v>
      </c>
      <c r="P360" t="str">
        <f t="shared" si="53"/>
        <v>.DeepSpringBud-bg{background-color:#556B2F;}</v>
      </c>
    </row>
    <row r="361" spans="2:16" ht="15.75">
      <c r="B361" s="1" t="s">
        <v>902</v>
      </c>
      <c r="C361" t="s">
        <v>903</v>
      </c>
      <c r="D361">
        <v>124.95</v>
      </c>
      <c r="E361">
        <v>94.35</v>
      </c>
      <c r="F361">
        <v>124.95</v>
      </c>
      <c r="G361" t="str">
        <f t="shared" si="45"/>
        <v>DeepTaupe</v>
      </c>
      <c r="H361" t="str">
        <f t="shared" si="46"/>
        <v>7E5E60</v>
      </c>
      <c r="I361" t="str">
        <f t="shared" si="47"/>
        <v>7E</v>
      </c>
      <c r="J361" t="str">
        <f t="shared" si="48"/>
        <v>5E</v>
      </c>
      <c r="K361" t="str">
        <f t="shared" si="49"/>
        <v>60</v>
      </c>
      <c r="L361">
        <f t="shared" si="50"/>
        <v>126</v>
      </c>
      <c r="M361">
        <f t="shared" si="51"/>
        <v>94</v>
      </c>
      <c r="N361">
        <f t="shared" si="52"/>
        <v>96</v>
      </c>
      <c r="P361" t="str">
        <f t="shared" si="53"/>
        <v>.DeepTaupe-bg{background-color:#7E5E60;}</v>
      </c>
    </row>
    <row r="362" spans="2:16" ht="15.75">
      <c r="B362" s="1" t="s">
        <v>904</v>
      </c>
      <c r="C362" t="s">
        <v>905</v>
      </c>
      <c r="D362">
        <v>102</v>
      </c>
      <c r="E362">
        <v>66.3</v>
      </c>
      <c r="F362">
        <v>102</v>
      </c>
      <c r="G362" t="str">
        <f t="shared" si="45"/>
        <v>DeepTuscanRed</v>
      </c>
      <c r="H362" t="str">
        <f t="shared" si="46"/>
        <v>66424D</v>
      </c>
      <c r="I362" t="str">
        <f t="shared" si="47"/>
        <v>66</v>
      </c>
      <c r="J362" t="str">
        <f t="shared" si="48"/>
        <v>42</v>
      </c>
      <c r="K362" t="str">
        <f t="shared" si="49"/>
        <v>4D</v>
      </c>
      <c r="L362">
        <f t="shared" si="50"/>
        <v>102</v>
      </c>
      <c r="M362">
        <f t="shared" si="51"/>
        <v>66</v>
      </c>
      <c r="N362">
        <f t="shared" si="52"/>
        <v>77</v>
      </c>
      <c r="P362" t="str">
        <f t="shared" si="53"/>
        <v>.DeepTuscanRed-bg{background-color:#66424D;}</v>
      </c>
    </row>
    <row r="363" spans="2:16" ht="15.75">
      <c r="B363" s="1" t="s">
        <v>906</v>
      </c>
      <c r="C363" t="s">
        <v>907</v>
      </c>
      <c r="D363">
        <v>51</v>
      </c>
      <c r="E363">
        <v>0</v>
      </c>
      <c r="F363">
        <v>51</v>
      </c>
      <c r="G363" t="str">
        <f t="shared" si="45"/>
        <v>DeepViolet</v>
      </c>
      <c r="H363" t="str">
        <f t="shared" si="46"/>
        <v>330066</v>
      </c>
      <c r="I363" t="str">
        <f t="shared" si="47"/>
        <v>33</v>
      </c>
      <c r="J363" t="str">
        <f t="shared" si="48"/>
        <v>00</v>
      </c>
      <c r="K363" t="str">
        <f t="shared" si="49"/>
        <v>66</v>
      </c>
      <c r="L363">
        <f t="shared" si="50"/>
        <v>51</v>
      </c>
      <c r="M363">
        <f t="shared" si="51"/>
        <v>0</v>
      </c>
      <c r="N363">
        <f t="shared" si="52"/>
        <v>102</v>
      </c>
      <c r="P363" t="str">
        <f t="shared" si="53"/>
        <v>.DeepViolet-bg{background-color:#330066;}</v>
      </c>
    </row>
    <row r="364" spans="2:16" ht="15.75">
      <c r="B364" s="1" t="s">
        <v>908</v>
      </c>
      <c r="C364" t="s">
        <v>909</v>
      </c>
      <c r="D364">
        <v>186.15</v>
      </c>
      <c r="E364">
        <v>135.15</v>
      </c>
      <c r="F364">
        <v>186.15</v>
      </c>
      <c r="G364" t="str">
        <f t="shared" si="45"/>
        <v>Deer</v>
      </c>
      <c r="H364" t="str">
        <f t="shared" si="46"/>
        <v>BA8759</v>
      </c>
      <c r="I364" t="str">
        <f t="shared" si="47"/>
        <v>BA</v>
      </c>
      <c r="J364" t="str">
        <f t="shared" si="48"/>
        <v>87</v>
      </c>
      <c r="K364" t="str">
        <f t="shared" si="49"/>
        <v>59</v>
      </c>
      <c r="L364">
        <f t="shared" si="50"/>
        <v>186</v>
      </c>
      <c r="M364">
        <f t="shared" si="51"/>
        <v>135</v>
      </c>
      <c r="N364">
        <f t="shared" si="52"/>
        <v>89</v>
      </c>
      <c r="P364" t="str">
        <f t="shared" si="53"/>
        <v>.Deer-bg{background-color:#BA8759;}</v>
      </c>
    </row>
    <row r="365" spans="2:16" ht="15.75">
      <c r="B365" s="1" t="s">
        <v>910</v>
      </c>
      <c r="C365" t="s">
        <v>911</v>
      </c>
      <c r="D365">
        <v>20.399999999999999</v>
      </c>
      <c r="E365">
        <v>96.9</v>
      </c>
      <c r="F365">
        <v>20.399999999999999</v>
      </c>
      <c r="G365" t="str">
        <f t="shared" si="45"/>
        <v>Denim</v>
      </c>
      <c r="H365" t="str">
        <f t="shared" si="46"/>
        <v>1560BD</v>
      </c>
      <c r="I365" t="str">
        <f t="shared" si="47"/>
        <v>15</v>
      </c>
      <c r="J365" t="str">
        <f t="shared" si="48"/>
        <v>60</v>
      </c>
      <c r="K365" t="str">
        <f t="shared" si="49"/>
        <v>BD</v>
      </c>
      <c r="L365">
        <f t="shared" si="50"/>
        <v>21</v>
      </c>
      <c r="M365">
        <f t="shared" si="51"/>
        <v>96</v>
      </c>
      <c r="N365">
        <f t="shared" si="52"/>
        <v>189</v>
      </c>
      <c r="P365" t="str">
        <f t="shared" si="53"/>
        <v>.Denim-bg{background-color:#1560BD;}</v>
      </c>
    </row>
    <row r="366" spans="2:16" ht="15.75">
      <c r="B366" s="1" t="s">
        <v>912</v>
      </c>
      <c r="C366" t="s">
        <v>913</v>
      </c>
      <c r="D366">
        <v>33.15</v>
      </c>
      <c r="E366">
        <v>66.3</v>
      </c>
      <c r="F366">
        <v>33.15</v>
      </c>
      <c r="G366" t="str">
        <f t="shared" si="45"/>
        <v>DenimBlue</v>
      </c>
      <c r="H366" t="str">
        <f t="shared" si="46"/>
        <v>2243B6</v>
      </c>
      <c r="I366" t="str">
        <f t="shared" si="47"/>
        <v>22</v>
      </c>
      <c r="J366" t="str">
        <f t="shared" si="48"/>
        <v>43</v>
      </c>
      <c r="K366" t="str">
        <f t="shared" si="49"/>
        <v>B6</v>
      </c>
      <c r="L366">
        <f t="shared" si="50"/>
        <v>34</v>
      </c>
      <c r="M366">
        <f t="shared" si="51"/>
        <v>67</v>
      </c>
      <c r="N366">
        <f t="shared" si="52"/>
        <v>182</v>
      </c>
      <c r="P366" t="str">
        <f t="shared" si="53"/>
        <v>.DenimBlue-bg{background-color:#2243B6;}</v>
      </c>
    </row>
    <row r="367" spans="2:16" ht="15.75">
      <c r="B367" s="1" t="s">
        <v>914</v>
      </c>
      <c r="C367" t="s">
        <v>915</v>
      </c>
      <c r="D367">
        <v>102</v>
      </c>
      <c r="E367">
        <v>153</v>
      </c>
      <c r="F367">
        <v>102</v>
      </c>
      <c r="G367" t="str">
        <f t="shared" si="45"/>
        <v>DesaturatedCyan</v>
      </c>
      <c r="H367" t="str">
        <f t="shared" si="46"/>
        <v>669999</v>
      </c>
      <c r="I367" t="str">
        <f t="shared" si="47"/>
        <v>66</v>
      </c>
      <c r="J367" t="str">
        <f t="shared" si="48"/>
        <v>99</v>
      </c>
      <c r="K367" t="str">
        <f t="shared" si="49"/>
        <v>99</v>
      </c>
      <c r="L367">
        <f t="shared" si="50"/>
        <v>102</v>
      </c>
      <c r="M367">
        <f t="shared" si="51"/>
        <v>153</v>
      </c>
      <c r="N367">
        <f t="shared" si="52"/>
        <v>153</v>
      </c>
      <c r="P367" t="str">
        <f t="shared" si="53"/>
        <v>.DesaturatedCyan-bg{background-color:#669999;}</v>
      </c>
    </row>
    <row r="368" spans="2:16" ht="15.75">
      <c r="B368" s="1" t="s">
        <v>916</v>
      </c>
      <c r="C368" t="s">
        <v>534</v>
      </c>
      <c r="D368">
        <v>193.8</v>
      </c>
      <c r="E368">
        <v>153</v>
      </c>
      <c r="F368">
        <v>193.8</v>
      </c>
      <c r="G368" t="str">
        <f t="shared" si="45"/>
        <v>Desert</v>
      </c>
      <c r="H368" t="str">
        <f t="shared" si="46"/>
        <v>C19A6B</v>
      </c>
      <c r="I368" t="str">
        <f t="shared" si="47"/>
        <v>C1</v>
      </c>
      <c r="J368" t="str">
        <f t="shared" si="48"/>
        <v>9A</v>
      </c>
      <c r="K368" t="str">
        <f t="shared" si="49"/>
        <v>6B</v>
      </c>
      <c r="L368">
        <f t="shared" si="50"/>
        <v>193</v>
      </c>
      <c r="M368">
        <f t="shared" si="51"/>
        <v>154</v>
      </c>
      <c r="N368">
        <f t="shared" si="52"/>
        <v>107</v>
      </c>
      <c r="P368" t="str">
        <f t="shared" si="53"/>
        <v>.Desert-bg{background-color:#C19A6B;}</v>
      </c>
    </row>
    <row r="369" spans="2:16" ht="15.75">
      <c r="B369" s="1" t="s">
        <v>917</v>
      </c>
      <c r="C369" t="s">
        <v>918</v>
      </c>
      <c r="D369">
        <v>237.15</v>
      </c>
      <c r="E369">
        <v>201.45</v>
      </c>
      <c r="F369">
        <v>237.15</v>
      </c>
      <c r="G369" t="str">
        <f t="shared" si="45"/>
        <v>DesertSand</v>
      </c>
      <c r="H369" t="str">
        <f t="shared" si="46"/>
        <v>EDC9AF</v>
      </c>
      <c r="I369" t="str">
        <f t="shared" si="47"/>
        <v>ED</v>
      </c>
      <c r="J369" t="str">
        <f t="shared" si="48"/>
        <v>C9</v>
      </c>
      <c r="K369" t="str">
        <f t="shared" si="49"/>
        <v>AF</v>
      </c>
      <c r="L369">
        <f t="shared" si="50"/>
        <v>237</v>
      </c>
      <c r="M369">
        <f t="shared" si="51"/>
        <v>201</v>
      </c>
      <c r="N369">
        <f t="shared" si="52"/>
        <v>175</v>
      </c>
      <c r="P369" t="str">
        <f t="shared" si="53"/>
        <v>.DesertSand-bg{background-color:#EDC9AF;}</v>
      </c>
    </row>
    <row r="370" spans="2:16" ht="15.75">
      <c r="B370" s="1" t="s">
        <v>919</v>
      </c>
      <c r="C370" t="s">
        <v>920</v>
      </c>
      <c r="D370">
        <v>234.6</v>
      </c>
      <c r="E370">
        <v>61.2</v>
      </c>
      <c r="F370">
        <v>234.6</v>
      </c>
      <c r="G370" t="str">
        <f t="shared" si="45"/>
        <v>Desire</v>
      </c>
      <c r="H370" t="str">
        <f t="shared" si="46"/>
        <v>EA3C53</v>
      </c>
      <c r="I370" t="str">
        <f t="shared" si="47"/>
        <v>EA</v>
      </c>
      <c r="J370" t="str">
        <f t="shared" si="48"/>
        <v>3C</v>
      </c>
      <c r="K370" t="str">
        <f t="shared" si="49"/>
        <v>53</v>
      </c>
      <c r="L370">
        <f t="shared" si="50"/>
        <v>234</v>
      </c>
      <c r="M370">
        <f t="shared" si="51"/>
        <v>60</v>
      </c>
      <c r="N370">
        <f t="shared" si="52"/>
        <v>83</v>
      </c>
      <c r="P370" t="str">
        <f t="shared" si="53"/>
        <v>.Desire-bg{background-color:#EA3C53;}</v>
      </c>
    </row>
    <row r="371" spans="2:16" ht="15.75">
      <c r="B371" s="1" t="s">
        <v>921</v>
      </c>
      <c r="C371" t="s">
        <v>922</v>
      </c>
      <c r="D371">
        <v>186.15</v>
      </c>
      <c r="E371">
        <v>242.25</v>
      </c>
      <c r="F371">
        <v>186.15</v>
      </c>
      <c r="G371" t="str">
        <f t="shared" si="45"/>
        <v>Diamond</v>
      </c>
      <c r="H371" t="str">
        <f t="shared" si="46"/>
        <v>B9F2FF</v>
      </c>
      <c r="I371" t="str">
        <f t="shared" si="47"/>
        <v>B9</v>
      </c>
      <c r="J371" t="str">
        <f t="shared" si="48"/>
        <v>F2</v>
      </c>
      <c r="K371" t="str">
        <f t="shared" si="49"/>
        <v>FF</v>
      </c>
      <c r="L371">
        <f t="shared" si="50"/>
        <v>185</v>
      </c>
      <c r="M371">
        <f t="shared" si="51"/>
        <v>242</v>
      </c>
      <c r="N371">
        <f t="shared" si="52"/>
        <v>255</v>
      </c>
      <c r="P371" t="str">
        <f t="shared" si="53"/>
        <v>.Diamond-bg{background-color:#B9F2FF;}</v>
      </c>
    </row>
    <row r="372" spans="2:16" ht="15.75">
      <c r="B372" s="1" t="s">
        <v>923</v>
      </c>
      <c r="C372" t="s">
        <v>924</v>
      </c>
      <c r="D372">
        <v>104.55</v>
      </c>
      <c r="E372">
        <v>104.55</v>
      </c>
      <c r="F372">
        <v>104.55</v>
      </c>
      <c r="G372" t="str">
        <f t="shared" si="45"/>
        <v>DimGray</v>
      </c>
      <c r="H372" t="str">
        <f t="shared" si="46"/>
        <v>696969</v>
      </c>
      <c r="I372" t="str">
        <f t="shared" si="47"/>
        <v>69</v>
      </c>
      <c r="J372" t="str">
        <f t="shared" si="48"/>
        <v>69</v>
      </c>
      <c r="K372" t="str">
        <f t="shared" si="49"/>
        <v>69</v>
      </c>
      <c r="L372">
        <f t="shared" si="50"/>
        <v>105</v>
      </c>
      <c r="M372">
        <f t="shared" si="51"/>
        <v>105</v>
      </c>
      <c r="N372">
        <f t="shared" si="52"/>
        <v>105</v>
      </c>
      <c r="P372" t="str">
        <f t="shared" si="53"/>
        <v>.DimGray-bg{background-color:#696969;}</v>
      </c>
    </row>
    <row r="373" spans="2:16" ht="15.75">
      <c r="B373" s="1" t="s">
        <v>925</v>
      </c>
      <c r="C373" t="s">
        <v>926</v>
      </c>
      <c r="D373">
        <v>196.35</v>
      </c>
      <c r="E373">
        <v>48.45</v>
      </c>
      <c r="F373">
        <v>196.35</v>
      </c>
      <c r="G373" t="str">
        <f t="shared" si="45"/>
        <v>DingyDungeon</v>
      </c>
      <c r="H373" t="str">
        <f t="shared" si="46"/>
        <v>C53151</v>
      </c>
      <c r="I373" t="str">
        <f t="shared" si="47"/>
        <v>C5</v>
      </c>
      <c r="J373" t="str">
        <f t="shared" si="48"/>
        <v>31</v>
      </c>
      <c r="K373" t="str">
        <f t="shared" si="49"/>
        <v>51</v>
      </c>
      <c r="L373">
        <f t="shared" si="50"/>
        <v>197</v>
      </c>
      <c r="M373">
        <f t="shared" si="51"/>
        <v>49</v>
      </c>
      <c r="N373">
        <f t="shared" si="52"/>
        <v>81</v>
      </c>
      <c r="P373" t="str">
        <f t="shared" si="53"/>
        <v>.DingyDungeon-bg{background-color:#C53151;}</v>
      </c>
    </row>
    <row r="374" spans="2:16" ht="15.75">
      <c r="B374" s="1" t="s">
        <v>927</v>
      </c>
      <c r="C374" t="s">
        <v>928</v>
      </c>
      <c r="D374">
        <v>155.55000000000001</v>
      </c>
      <c r="E374">
        <v>117.3</v>
      </c>
      <c r="F374">
        <v>155.55000000000001</v>
      </c>
      <c r="G374" t="str">
        <f t="shared" si="45"/>
        <v>Dirt</v>
      </c>
      <c r="H374" t="str">
        <f t="shared" si="46"/>
        <v>9B7653</v>
      </c>
      <c r="I374" t="str">
        <f t="shared" si="47"/>
        <v>9B</v>
      </c>
      <c r="J374" t="str">
        <f t="shared" si="48"/>
        <v>76</v>
      </c>
      <c r="K374" t="str">
        <f t="shared" si="49"/>
        <v>53</v>
      </c>
      <c r="L374">
        <f t="shared" si="50"/>
        <v>155</v>
      </c>
      <c r="M374">
        <f t="shared" si="51"/>
        <v>118</v>
      </c>
      <c r="N374">
        <f t="shared" si="52"/>
        <v>83</v>
      </c>
      <c r="P374" t="str">
        <f t="shared" si="53"/>
        <v>.Dirt-bg{background-color:#9B7653;}</v>
      </c>
    </row>
    <row r="375" spans="2:16" ht="15.75">
      <c r="B375" s="1" t="s">
        <v>929</v>
      </c>
      <c r="C375" t="s">
        <v>930</v>
      </c>
      <c r="D375">
        <v>30.6</v>
      </c>
      <c r="E375">
        <v>142.80000000000001</v>
      </c>
      <c r="F375">
        <v>30.6</v>
      </c>
      <c r="G375" t="str">
        <f t="shared" si="45"/>
        <v>DodgerBlue</v>
      </c>
      <c r="H375" t="str">
        <f t="shared" si="46"/>
        <v>1E90FF</v>
      </c>
      <c r="I375" t="str">
        <f t="shared" si="47"/>
        <v>1E</v>
      </c>
      <c r="J375" t="str">
        <f t="shared" si="48"/>
        <v>90</v>
      </c>
      <c r="K375" t="str">
        <f t="shared" si="49"/>
        <v>FF</v>
      </c>
      <c r="L375">
        <f t="shared" si="50"/>
        <v>30</v>
      </c>
      <c r="M375">
        <f t="shared" si="51"/>
        <v>144</v>
      </c>
      <c r="N375">
        <f t="shared" si="52"/>
        <v>255</v>
      </c>
      <c r="P375" t="str">
        <f t="shared" si="53"/>
        <v>.DodgerBlue-bg{background-color:#1E90FF;}</v>
      </c>
    </row>
    <row r="376" spans="2:16" ht="15.75">
      <c r="B376" s="1" t="s">
        <v>931</v>
      </c>
      <c r="C376" t="s">
        <v>932</v>
      </c>
      <c r="D376">
        <v>214.2</v>
      </c>
      <c r="E376">
        <v>22.95</v>
      </c>
      <c r="F376">
        <v>214.2</v>
      </c>
      <c r="G376" t="str">
        <f t="shared" si="45"/>
        <v>DogwoodRose</v>
      </c>
      <c r="H376" t="str">
        <f t="shared" si="46"/>
        <v>D71868</v>
      </c>
      <c r="I376" t="str">
        <f t="shared" si="47"/>
        <v>D7</v>
      </c>
      <c r="J376" t="str">
        <f t="shared" si="48"/>
        <v>18</v>
      </c>
      <c r="K376" t="str">
        <f t="shared" si="49"/>
        <v>68</v>
      </c>
      <c r="L376">
        <f t="shared" si="50"/>
        <v>215</v>
      </c>
      <c r="M376">
        <f t="shared" si="51"/>
        <v>24</v>
      </c>
      <c r="N376">
        <f t="shared" si="52"/>
        <v>104</v>
      </c>
      <c r="P376" t="str">
        <f t="shared" si="53"/>
        <v>.DogwoodRose-bg{background-color:#D71868;}</v>
      </c>
    </row>
    <row r="377" spans="2:16" ht="15.75">
      <c r="B377" s="1" t="s">
        <v>933</v>
      </c>
      <c r="C377" t="s">
        <v>934</v>
      </c>
      <c r="D377">
        <v>132.6</v>
      </c>
      <c r="E377">
        <v>186.15</v>
      </c>
      <c r="F377">
        <v>132.6</v>
      </c>
      <c r="G377" t="str">
        <f t="shared" si="45"/>
        <v>DollarBill</v>
      </c>
      <c r="H377" t="str">
        <f t="shared" si="46"/>
        <v>85BB65</v>
      </c>
      <c r="I377" t="str">
        <f t="shared" si="47"/>
        <v>85</v>
      </c>
      <c r="J377" t="str">
        <f t="shared" si="48"/>
        <v>BB</v>
      </c>
      <c r="K377" t="str">
        <f t="shared" si="49"/>
        <v>65</v>
      </c>
      <c r="L377">
        <f t="shared" si="50"/>
        <v>133</v>
      </c>
      <c r="M377">
        <f t="shared" si="51"/>
        <v>187</v>
      </c>
      <c r="N377">
        <f t="shared" si="52"/>
        <v>101</v>
      </c>
      <c r="P377" t="str">
        <f t="shared" si="53"/>
        <v>.DollarBill-bg{background-color:#85BB65;}</v>
      </c>
    </row>
    <row r="378" spans="2:16" ht="15.75">
      <c r="B378" s="1" t="s">
        <v>935</v>
      </c>
      <c r="C378" t="s">
        <v>936</v>
      </c>
      <c r="D378">
        <v>102</v>
      </c>
      <c r="E378">
        <v>76.5</v>
      </c>
      <c r="F378">
        <v>102</v>
      </c>
      <c r="G378" t="str">
        <f t="shared" si="45"/>
        <v>DonkeyBrown</v>
      </c>
      <c r="H378" t="str">
        <f t="shared" si="46"/>
        <v>664C28</v>
      </c>
      <c r="I378" t="str">
        <f t="shared" si="47"/>
        <v>66</v>
      </c>
      <c r="J378" t="str">
        <f t="shared" si="48"/>
        <v>4C</v>
      </c>
      <c r="K378" t="str">
        <f t="shared" si="49"/>
        <v>28</v>
      </c>
      <c r="L378">
        <f t="shared" si="50"/>
        <v>102</v>
      </c>
      <c r="M378">
        <f t="shared" si="51"/>
        <v>76</v>
      </c>
      <c r="N378">
        <f t="shared" si="52"/>
        <v>40</v>
      </c>
      <c r="P378" t="str">
        <f t="shared" si="53"/>
        <v>.DonkeyBrown-bg{background-color:#664C28;}</v>
      </c>
    </row>
    <row r="379" spans="2:16" ht="15.75">
      <c r="B379" s="1" t="s">
        <v>937</v>
      </c>
      <c r="C379" t="s">
        <v>353</v>
      </c>
      <c r="D379">
        <v>150.44999999999999</v>
      </c>
      <c r="E379">
        <v>112.2</v>
      </c>
      <c r="F379">
        <v>150.44999999999999</v>
      </c>
      <c r="G379" t="str">
        <f t="shared" si="45"/>
        <v>Drab</v>
      </c>
      <c r="H379" t="str">
        <f t="shared" si="46"/>
        <v>967117</v>
      </c>
      <c r="I379" t="str">
        <f t="shared" si="47"/>
        <v>96</v>
      </c>
      <c r="J379" t="str">
        <f t="shared" si="48"/>
        <v>71</v>
      </c>
      <c r="K379" t="str">
        <f t="shared" si="49"/>
        <v>17</v>
      </c>
      <c r="L379">
        <f t="shared" si="50"/>
        <v>150</v>
      </c>
      <c r="M379">
        <f t="shared" si="51"/>
        <v>113</v>
      </c>
      <c r="N379">
        <f t="shared" si="52"/>
        <v>23</v>
      </c>
      <c r="P379" t="str">
        <f t="shared" si="53"/>
        <v>.Drab-bg{background-color:#967117;}</v>
      </c>
    </row>
    <row r="380" spans="2:16" ht="15.75">
      <c r="B380" s="1" t="s">
        <v>938</v>
      </c>
      <c r="C380" t="s">
        <v>939</v>
      </c>
      <c r="D380">
        <v>0</v>
      </c>
      <c r="E380">
        <v>0</v>
      </c>
      <c r="F380">
        <v>0</v>
      </c>
      <c r="G380" t="str">
        <f t="shared" si="45"/>
        <v>DukeBlue</v>
      </c>
      <c r="H380" t="str">
        <f t="shared" si="46"/>
        <v>00009C</v>
      </c>
      <c r="I380" t="str">
        <f t="shared" si="47"/>
        <v>00</v>
      </c>
      <c r="J380" t="str">
        <f t="shared" si="48"/>
        <v>00</v>
      </c>
      <c r="K380" t="str">
        <f t="shared" si="49"/>
        <v>9C</v>
      </c>
      <c r="L380">
        <f t="shared" si="50"/>
        <v>0</v>
      </c>
      <c r="M380">
        <f t="shared" si="51"/>
        <v>0</v>
      </c>
      <c r="N380">
        <f t="shared" si="52"/>
        <v>156</v>
      </c>
      <c r="P380" t="str">
        <f t="shared" si="53"/>
        <v>.DukeBlue-bg{background-color:#00009C;}</v>
      </c>
    </row>
    <row r="381" spans="2:16" ht="15.75">
      <c r="B381" s="1" t="s">
        <v>940</v>
      </c>
      <c r="C381" t="s">
        <v>941</v>
      </c>
      <c r="D381">
        <v>229.5</v>
      </c>
      <c r="E381">
        <v>204</v>
      </c>
      <c r="F381">
        <v>229.5</v>
      </c>
      <c r="G381" t="str">
        <f t="shared" si="45"/>
        <v>DustStorm</v>
      </c>
      <c r="H381" t="str">
        <f t="shared" si="46"/>
        <v>E5CCC9</v>
      </c>
      <c r="I381" t="str">
        <f t="shared" si="47"/>
        <v>E5</v>
      </c>
      <c r="J381" t="str">
        <f t="shared" si="48"/>
        <v>CC</v>
      </c>
      <c r="K381" t="str">
        <f t="shared" si="49"/>
        <v>C9</v>
      </c>
      <c r="L381">
        <f t="shared" si="50"/>
        <v>229</v>
      </c>
      <c r="M381">
        <f t="shared" si="51"/>
        <v>204</v>
      </c>
      <c r="N381">
        <f t="shared" si="52"/>
        <v>201</v>
      </c>
      <c r="P381" t="str">
        <f t="shared" si="53"/>
        <v>.DustStorm-bg{background-color:#E5CCC9;}</v>
      </c>
    </row>
    <row r="382" spans="2:16" ht="15.75">
      <c r="B382" s="1" t="s">
        <v>942</v>
      </c>
      <c r="C382" t="s">
        <v>943</v>
      </c>
      <c r="D382">
        <v>239.7</v>
      </c>
      <c r="E382">
        <v>221.85</v>
      </c>
      <c r="F382">
        <v>239.7</v>
      </c>
      <c r="G382" t="str">
        <f t="shared" si="45"/>
        <v>DutchWhite</v>
      </c>
      <c r="H382" t="str">
        <f t="shared" si="46"/>
        <v>EFDFBB</v>
      </c>
      <c r="I382" t="str">
        <f t="shared" si="47"/>
        <v>EF</v>
      </c>
      <c r="J382" t="str">
        <f t="shared" si="48"/>
        <v>DF</v>
      </c>
      <c r="K382" t="str">
        <f t="shared" si="49"/>
        <v>BB</v>
      </c>
      <c r="L382">
        <f t="shared" si="50"/>
        <v>239</v>
      </c>
      <c r="M382">
        <f t="shared" si="51"/>
        <v>223</v>
      </c>
      <c r="N382">
        <f t="shared" si="52"/>
        <v>187</v>
      </c>
      <c r="P382" t="str">
        <f t="shared" si="53"/>
        <v>.DutchWhite-bg{background-color:#EFDFBB;}</v>
      </c>
    </row>
    <row r="383" spans="2:16" ht="15.75">
      <c r="B383" s="1" t="s">
        <v>944</v>
      </c>
      <c r="C383" t="s">
        <v>945</v>
      </c>
      <c r="D383">
        <v>224.4</v>
      </c>
      <c r="E383">
        <v>168.3</v>
      </c>
      <c r="F383">
        <v>224.4</v>
      </c>
      <c r="G383" t="str">
        <f t="shared" si="45"/>
        <v>EarthYellow</v>
      </c>
      <c r="H383" t="str">
        <f t="shared" si="46"/>
        <v>E1A95F</v>
      </c>
      <c r="I383" t="str">
        <f t="shared" si="47"/>
        <v>E1</v>
      </c>
      <c r="J383" t="str">
        <f t="shared" si="48"/>
        <v>A9</v>
      </c>
      <c r="K383" t="str">
        <f t="shared" si="49"/>
        <v>5F</v>
      </c>
      <c r="L383">
        <f t="shared" si="50"/>
        <v>225</v>
      </c>
      <c r="M383">
        <f t="shared" si="51"/>
        <v>169</v>
      </c>
      <c r="N383">
        <f t="shared" si="52"/>
        <v>95</v>
      </c>
      <c r="P383" t="str">
        <f t="shared" si="53"/>
        <v>.EarthYellow-bg{background-color:#E1A95F;}</v>
      </c>
    </row>
    <row r="384" spans="2:16" ht="15.75">
      <c r="B384" s="1" t="s">
        <v>946</v>
      </c>
      <c r="C384" t="s">
        <v>947</v>
      </c>
      <c r="D384">
        <v>84.15</v>
      </c>
      <c r="E384">
        <v>91.8</v>
      </c>
      <c r="F384">
        <v>84.15</v>
      </c>
      <c r="G384" t="str">
        <f t="shared" si="45"/>
        <v>Ebony</v>
      </c>
      <c r="H384" t="str">
        <f t="shared" si="46"/>
        <v>555D50</v>
      </c>
      <c r="I384" t="str">
        <f t="shared" si="47"/>
        <v>55</v>
      </c>
      <c r="J384" t="str">
        <f t="shared" si="48"/>
        <v>5D</v>
      </c>
      <c r="K384" t="str">
        <f t="shared" si="49"/>
        <v>50</v>
      </c>
      <c r="L384">
        <f t="shared" si="50"/>
        <v>85</v>
      </c>
      <c r="M384">
        <f t="shared" si="51"/>
        <v>93</v>
      </c>
      <c r="N384">
        <f t="shared" si="52"/>
        <v>80</v>
      </c>
      <c r="P384" t="str">
        <f t="shared" si="53"/>
        <v>.Ebony-bg{background-color:#555D50;}</v>
      </c>
    </row>
    <row r="385" spans="2:16" ht="15.75">
      <c r="B385" s="1" t="s">
        <v>948</v>
      </c>
      <c r="C385" t="s">
        <v>949</v>
      </c>
      <c r="D385">
        <v>193.8</v>
      </c>
      <c r="E385">
        <v>178.5</v>
      </c>
      <c r="F385">
        <v>193.8</v>
      </c>
      <c r="G385" t="str">
        <f t="shared" si="45"/>
        <v>Ecru</v>
      </c>
      <c r="H385" t="str">
        <f t="shared" si="46"/>
        <v>C2B280</v>
      </c>
      <c r="I385" t="str">
        <f t="shared" si="47"/>
        <v>C2</v>
      </c>
      <c r="J385" t="str">
        <f t="shared" si="48"/>
        <v>B2</v>
      </c>
      <c r="K385" t="str">
        <f t="shared" si="49"/>
        <v>80</v>
      </c>
      <c r="L385">
        <f t="shared" si="50"/>
        <v>194</v>
      </c>
      <c r="M385">
        <f t="shared" si="51"/>
        <v>178</v>
      </c>
      <c r="N385">
        <f t="shared" si="52"/>
        <v>128</v>
      </c>
      <c r="P385" t="str">
        <f t="shared" si="53"/>
        <v>.Ecru-bg{background-color:#C2B280;}</v>
      </c>
    </row>
    <row r="386" spans="2:16" ht="15.75">
      <c r="B386" s="1" t="s">
        <v>950</v>
      </c>
      <c r="C386" t="s">
        <v>951</v>
      </c>
      <c r="D386">
        <v>28.05</v>
      </c>
      <c r="E386">
        <v>28.05</v>
      </c>
      <c r="F386">
        <v>28.05</v>
      </c>
      <c r="G386" t="str">
        <f t="shared" si="45"/>
        <v>EerieBlack</v>
      </c>
      <c r="H386" t="str">
        <f t="shared" si="46"/>
        <v>1B1B1B</v>
      </c>
      <c r="I386" t="str">
        <f t="shared" si="47"/>
        <v>1B</v>
      </c>
      <c r="J386" t="str">
        <f t="shared" si="48"/>
        <v>1B</v>
      </c>
      <c r="K386" t="str">
        <f t="shared" si="49"/>
        <v>1B</v>
      </c>
      <c r="L386">
        <f t="shared" si="50"/>
        <v>27</v>
      </c>
      <c r="M386">
        <f t="shared" si="51"/>
        <v>27</v>
      </c>
      <c r="N386">
        <f t="shared" si="52"/>
        <v>27</v>
      </c>
      <c r="P386" t="str">
        <f t="shared" si="53"/>
        <v>.EerieBlack-bg{background-color:#1B1B1B;}</v>
      </c>
    </row>
    <row r="387" spans="2:16" ht="15.75">
      <c r="B387" s="1" t="s">
        <v>952</v>
      </c>
      <c r="C387" t="s">
        <v>953</v>
      </c>
      <c r="D387">
        <v>96.9</v>
      </c>
      <c r="E387">
        <v>63.75</v>
      </c>
      <c r="F387">
        <v>96.9</v>
      </c>
      <c r="G387" t="str">
        <f t="shared" si="45"/>
        <v>Eggplant</v>
      </c>
      <c r="H387" t="str">
        <f t="shared" si="46"/>
        <v>614051</v>
      </c>
      <c r="I387" t="str">
        <f t="shared" si="47"/>
        <v>61</v>
      </c>
      <c r="J387" t="str">
        <f t="shared" si="48"/>
        <v>40</v>
      </c>
      <c r="K387" t="str">
        <f t="shared" si="49"/>
        <v>51</v>
      </c>
      <c r="L387">
        <f t="shared" si="50"/>
        <v>97</v>
      </c>
      <c r="M387">
        <f t="shared" si="51"/>
        <v>64</v>
      </c>
      <c r="N387">
        <f t="shared" si="52"/>
        <v>81</v>
      </c>
      <c r="P387" t="str">
        <f t="shared" si="53"/>
        <v>.Eggplant-bg{background-color:#614051;}</v>
      </c>
    </row>
    <row r="388" spans="2:16" ht="15.75">
      <c r="B388" s="1" t="s">
        <v>954</v>
      </c>
      <c r="C388" t="s">
        <v>955</v>
      </c>
      <c r="D388">
        <v>239.7</v>
      </c>
      <c r="E388">
        <v>234.6</v>
      </c>
      <c r="F388">
        <v>239.7</v>
      </c>
      <c r="G388" t="str">
        <f t="shared" ref="G388:G451" si="54">SUBSTITUTE(PROPER(AlphaNumericOnly(B388))," ","")</f>
        <v>Eggshell</v>
      </c>
      <c r="H388" t="str">
        <f t="shared" ref="H388:H451" si="55">RIGHT(C388,6)</f>
        <v>F0EAD6</v>
      </c>
      <c r="I388" t="str">
        <f t="shared" ref="I388:I451" si="56">MID($H388,1,2)</f>
        <v>F0</v>
      </c>
      <c r="J388" t="str">
        <f t="shared" ref="J388:J451" si="57">MID($H388,3,2)</f>
        <v>EA</v>
      </c>
      <c r="K388" t="str">
        <f t="shared" ref="K388:K451" si="58">MID($H388,5,2)</f>
        <v>D6</v>
      </c>
      <c r="L388">
        <f t="shared" ref="L388:L451" si="59">HEX2DEC(I388)</f>
        <v>240</v>
      </c>
      <c r="M388">
        <f t="shared" ref="M388:M451" si="60">HEX2DEC(J388)</f>
        <v>234</v>
      </c>
      <c r="N388">
        <f t="shared" ref="N388:N451" si="61">HEX2DEC(K388)</f>
        <v>214</v>
      </c>
      <c r="P388" t="str">
        <f t="shared" ref="P388:P451" si="62">"."&amp;G388&amp;$P$1&amp;"{"&amp;$P$2&amp;":#"&amp;H388&amp;";}"</f>
        <v>.Eggshell-bg{background-color:#F0EAD6;}</v>
      </c>
    </row>
    <row r="389" spans="2:16" ht="15.75">
      <c r="B389" s="1" t="s">
        <v>956</v>
      </c>
      <c r="C389" t="s">
        <v>957</v>
      </c>
      <c r="D389">
        <v>15.3</v>
      </c>
      <c r="E389">
        <v>51</v>
      </c>
      <c r="F389">
        <v>15.3</v>
      </c>
      <c r="G389" t="str">
        <f t="shared" si="54"/>
        <v>EgyptianBlue</v>
      </c>
      <c r="H389" t="str">
        <f t="shared" si="55"/>
        <v>1034A6</v>
      </c>
      <c r="I389" t="str">
        <f t="shared" si="56"/>
        <v>10</v>
      </c>
      <c r="J389" t="str">
        <f t="shared" si="57"/>
        <v>34</v>
      </c>
      <c r="K389" t="str">
        <f t="shared" si="58"/>
        <v>A6</v>
      </c>
      <c r="L389">
        <f t="shared" si="59"/>
        <v>16</v>
      </c>
      <c r="M389">
        <f t="shared" si="60"/>
        <v>52</v>
      </c>
      <c r="N389">
        <f t="shared" si="61"/>
        <v>166</v>
      </c>
      <c r="P389" t="str">
        <f t="shared" si="62"/>
        <v>.EgyptianBlue-bg{background-color:#1034A6;}</v>
      </c>
    </row>
    <row r="390" spans="2:16" ht="15.75">
      <c r="B390" s="1" t="s">
        <v>958</v>
      </c>
      <c r="C390" t="s">
        <v>959</v>
      </c>
      <c r="D390">
        <v>124.95</v>
      </c>
      <c r="E390">
        <v>249.9</v>
      </c>
      <c r="F390">
        <v>124.95</v>
      </c>
      <c r="G390" t="str">
        <f t="shared" si="54"/>
        <v>ElectricBlue</v>
      </c>
      <c r="H390" t="str">
        <f t="shared" si="55"/>
        <v>7DF9FF</v>
      </c>
      <c r="I390" t="str">
        <f t="shared" si="56"/>
        <v>7D</v>
      </c>
      <c r="J390" t="str">
        <f t="shared" si="57"/>
        <v>F9</v>
      </c>
      <c r="K390" t="str">
        <f t="shared" si="58"/>
        <v>FF</v>
      </c>
      <c r="L390">
        <f t="shared" si="59"/>
        <v>125</v>
      </c>
      <c r="M390">
        <f t="shared" si="60"/>
        <v>249</v>
      </c>
      <c r="N390">
        <f t="shared" si="61"/>
        <v>255</v>
      </c>
      <c r="P390" t="str">
        <f t="shared" si="62"/>
        <v>.ElectricBlue-bg{background-color:#7DF9FF;}</v>
      </c>
    </row>
    <row r="391" spans="2:16" ht="15.75">
      <c r="B391" s="1" t="s">
        <v>960</v>
      </c>
      <c r="C391" t="s">
        <v>961</v>
      </c>
      <c r="D391">
        <v>255</v>
      </c>
      <c r="E391">
        <v>0</v>
      </c>
      <c r="F391">
        <v>255</v>
      </c>
      <c r="G391" t="str">
        <f t="shared" si="54"/>
        <v>ElectricCrimson</v>
      </c>
      <c r="H391" t="str">
        <f t="shared" si="55"/>
        <v>FF003F</v>
      </c>
      <c r="I391" t="str">
        <f t="shared" si="56"/>
        <v>FF</v>
      </c>
      <c r="J391" t="str">
        <f t="shared" si="57"/>
        <v>00</v>
      </c>
      <c r="K391" t="str">
        <f t="shared" si="58"/>
        <v>3F</v>
      </c>
      <c r="L391">
        <f t="shared" si="59"/>
        <v>255</v>
      </c>
      <c r="M391">
        <f t="shared" si="60"/>
        <v>0</v>
      </c>
      <c r="N391">
        <f t="shared" si="61"/>
        <v>63</v>
      </c>
      <c r="P391" t="str">
        <f t="shared" si="62"/>
        <v>.ElectricCrimson-bg{background-color:#FF003F;}</v>
      </c>
    </row>
    <row r="392" spans="2:16" ht="15.75">
      <c r="B392" s="1" t="s">
        <v>962</v>
      </c>
      <c r="C392" t="s">
        <v>272</v>
      </c>
      <c r="D392">
        <v>0</v>
      </c>
      <c r="E392">
        <v>255</v>
      </c>
      <c r="F392">
        <v>0</v>
      </c>
      <c r="G392" t="str">
        <f t="shared" si="54"/>
        <v>ElectricCyan</v>
      </c>
      <c r="H392" t="str">
        <f t="shared" si="55"/>
        <v>00FFFF</v>
      </c>
      <c r="I392" t="str">
        <f t="shared" si="56"/>
        <v>00</v>
      </c>
      <c r="J392" t="str">
        <f t="shared" si="57"/>
        <v>FF</v>
      </c>
      <c r="K392" t="str">
        <f t="shared" si="58"/>
        <v>FF</v>
      </c>
      <c r="L392">
        <f t="shared" si="59"/>
        <v>0</v>
      </c>
      <c r="M392">
        <f t="shared" si="60"/>
        <v>255</v>
      </c>
      <c r="N392">
        <f t="shared" si="61"/>
        <v>255</v>
      </c>
      <c r="P392" t="str">
        <f t="shared" si="62"/>
        <v>.ElectricCyan-bg{background-color:#00FFFF;}</v>
      </c>
    </row>
    <row r="393" spans="2:16" ht="15.75">
      <c r="B393" s="1" t="s">
        <v>963</v>
      </c>
      <c r="C393" t="s">
        <v>964</v>
      </c>
      <c r="D393">
        <v>0</v>
      </c>
      <c r="E393">
        <v>255</v>
      </c>
      <c r="F393">
        <v>0</v>
      </c>
      <c r="G393" t="str">
        <f t="shared" si="54"/>
        <v>ElectricGreen</v>
      </c>
      <c r="H393" t="str">
        <f t="shared" si="55"/>
        <v>00FF00</v>
      </c>
      <c r="I393" t="str">
        <f t="shared" si="56"/>
        <v>00</v>
      </c>
      <c r="J393" t="str">
        <f t="shared" si="57"/>
        <v>FF</v>
      </c>
      <c r="K393" t="str">
        <f t="shared" si="58"/>
        <v>00</v>
      </c>
      <c r="L393">
        <f t="shared" si="59"/>
        <v>0</v>
      </c>
      <c r="M393">
        <f t="shared" si="60"/>
        <v>255</v>
      </c>
      <c r="N393">
        <f t="shared" si="61"/>
        <v>0</v>
      </c>
      <c r="P393" t="str">
        <f t="shared" si="62"/>
        <v>.ElectricGreen-bg{background-color:#00FF00;}</v>
      </c>
    </row>
    <row r="394" spans="2:16" ht="15.75">
      <c r="B394" s="1" t="s">
        <v>965</v>
      </c>
      <c r="C394" t="s">
        <v>966</v>
      </c>
      <c r="D394">
        <v>112.2</v>
      </c>
      <c r="E394">
        <v>0</v>
      </c>
      <c r="F394">
        <v>112.2</v>
      </c>
      <c r="G394" t="str">
        <f t="shared" si="54"/>
        <v>ElectricIndigo</v>
      </c>
      <c r="H394" t="str">
        <f t="shared" si="55"/>
        <v>6F00FF</v>
      </c>
      <c r="I394" t="str">
        <f t="shared" si="56"/>
        <v>6F</v>
      </c>
      <c r="J394" t="str">
        <f t="shared" si="57"/>
        <v>00</v>
      </c>
      <c r="K394" t="str">
        <f t="shared" si="58"/>
        <v>FF</v>
      </c>
      <c r="L394">
        <f t="shared" si="59"/>
        <v>111</v>
      </c>
      <c r="M394">
        <f t="shared" si="60"/>
        <v>0</v>
      </c>
      <c r="N394">
        <f t="shared" si="61"/>
        <v>255</v>
      </c>
      <c r="P394" t="str">
        <f t="shared" si="62"/>
        <v>.ElectricIndigo-bg{background-color:#6F00FF;}</v>
      </c>
    </row>
    <row r="395" spans="2:16" ht="15.75">
      <c r="B395" s="1" t="s">
        <v>967</v>
      </c>
      <c r="C395" t="s">
        <v>463</v>
      </c>
      <c r="D395">
        <v>244.8</v>
      </c>
      <c r="E395">
        <v>186.15</v>
      </c>
      <c r="F395">
        <v>244.8</v>
      </c>
      <c r="G395" t="str">
        <f t="shared" si="54"/>
        <v>ElectricLavender</v>
      </c>
      <c r="H395" t="str">
        <f t="shared" si="55"/>
        <v>F4BBFF</v>
      </c>
      <c r="I395" t="str">
        <f t="shared" si="56"/>
        <v>F4</v>
      </c>
      <c r="J395" t="str">
        <f t="shared" si="57"/>
        <v>BB</v>
      </c>
      <c r="K395" t="str">
        <f t="shared" si="58"/>
        <v>FF</v>
      </c>
      <c r="L395">
        <f t="shared" si="59"/>
        <v>244</v>
      </c>
      <c r="M395">
        <f t="shared" si="60"/>
        <v>187</v>
      </c>
      <c r="N395">
        <f t="shared" si="61"/>
        <v>255</v>
      </c>
      <c r="P395" t="str">
        <f t="shared" si="62"/>
        <v>.ElectricLavender-bg{background-color:#F4BBFF;}</v>
      </c>
    </row>
    <row r="396" spans="2:16" ht="15.75">
      <c r="B396" s="1" t="s">
        <v>968</v>
      </c>
      <c r="C396" t="s">
        <v>969</v>
      </c>
      <c r="D396">
        <v>204</v>
      </c>
      <c r="E396">
        <v>255</v>
      </c>
      <c r="F396">
        <v>204</v>
      </c>
      <c r="G396" t="str">
        <f t="shared" si="54"/>
        <v>ElectricLime</v>
      </c>
      <c r="H396" t="str">
        <f t="shared" si="55"/>
        <v>CCFF00</v>
      </c>
      <c r="I396" t="str">
        <f t="shared" si="56"/>
        <v>CC</v>
      </c>
      <c r="J396" t="str">
        <f t="shared" si="57"/>
        <v>FF</v>
      </c>
      <c r="K396" t="str">
        <f t="shared" si="58"/>
        <v>00</v>
      </c>
      <c r="L396">
        <f t="shared" si="59"/>
        <v>204</v>
      </c>
      <c r="M396">
        <f t="shared" si="60"/>
        <v>255</v>
      </c>
      <c r="N396">
        <f t="shared" si="61"/>
        <v>0</v>
      </c>
      <c r="P396" t="str">
        <f t="shared" si="62"/>
        <v>.ElectricLime-bg{background-color:#CCFF00;}</v>
      </c>
    </row>
    <row r="397" spans="2:16" ht="15.75">
      <c r="B397" s="1" t="s">
        <v>970</v>
      </c>
      <c r="C397" t="s">
        <v>971</v>
      </c>
      <c r="D397">
        <v>191.25</v>
      </c>
      <c r="E397">
        <v>0</v>
      </c>
      <c r="F397">
        <v>191.25</v>
      </c>
      <c r="G397" t="str">
        <f t="shared" si="54"/>
        <v>ElectricPurple</v>
      </c>
      <c r="H397" t="str">
        <f t="shared" si="55"/>
        <v>BF00FF</v>
      </c>
      <c r="I397" t="str">
        <f t="shared" si="56"/>
        <v>BF</v>
      </c>
      <c r="J397" t="str">
        <f t="shared" si="57"/>
        <v>00</v>
      </c>
      <c r="K397" t="str">
        <f t="shared" si="58"/>
        <v>FF</v>
      </c>
      <c r="L397">
        <f t="shared" si="59"/>
        <v>191</v>
      </c>
      <c r="M397">
        <f t="shared" si="60"/>
        <v>0</v>
      </c>
      <c r="N397">
        <f t="shared" si="61"/>
        <v>255</v>
      </c>
      <c r="P397" t="str">
        <f t="shared" si="62"/>
        <v>.ElectricPurple-bg{background-color:#BF00FF;}</v>
      </c>
    </row>
    <row r="398" spans="2:16" ht="15.75">
      <c r="B398" s="1" t="s">
        <v>972</v>
      </c>
      <c r="C398" t="s">
        <v>973</v>
      </c>
      <c r="D398">
        <v>63.75</v>
      </c>
      <c r="E398">
        <v>0</v>
      </c>
      <c r="F398">
        <v>63.75</v>
      </c>
      <c r="G398" t="str">
        <f t="shared" si="54"/>
        <v>ElectricUltramarine</v>
      </c>
      <c r="H398" t="str">
        <f t="shared" si="55"/>
        <v>3F00FF</v>
      </c>
      <c r="I398" t="str">
        <f t="shared" si="56"/>
        <v>3F</v>
      </c>
      <c r="J398" t="str">
        <f t="shared" si="57"/>
        <v>00</v>
      </c>
      <c r="K398" t="str">
        <f t="shared" si="58"/>
        <v>FF</v>
      </c>
      <c r="L398">
        <f t="shared" si="59"/>
        <v>63</v>
      </c>
      <c r="M398">
        <f t="shared" si="60"/>
        <v>0</v>
      </c>
      <c r="N398">
        <f t="shared" si="61"/>
        <v>255</v>
      </c>
      <c r="P398" t="str">
        <f t="shared" si="62"/>
        <v>.ElectricUltramarine-bg{background-color:#3F00FF;}</v>
      </c>
    </row>
    <row r="399" spans="2:16" ht="15.75">
      <c r="B399" s="1" t="s">
        <v>974</v>
      </c>
      <c r="C399" t="s">
        <v>975</v>
      </c>
      <c r="D399">
        <v>142.80000000000001</v>
      </c>
      <c r="E399">
        <v>0</v>
      </c>
      <c r="F399">
        <v>142.80000000000001</v>
      </c>
      <c r="G399" t="str">
        <f t="shared" si="54"/>
        <v>ElectricViolet</v>
      </c>
      <c r="H399" t="str">
        <f t="shared" si="55"/>
        <v>8F00FF</v>
      </c>
      <c r="I399" t="str">
        <f t="shared" si="56"/>
        <v>8F</v>
      </c>
      <c r="J399" t="str">
        <f t="shared" si="57"/>
        <v>00</v>
      </c>
      <c r="K399" t="str">
        <f t="shared" si="58"/>
        <v>FF</v>
      </c>
      <c r="L399">
        <f t="shared" si="59"/>
        <v>143</v>
      </c>
      <c r="M399">
        <f t="shared" si="60"/>
        <v>0</v>
      </c>
      <c r="N399">
        <f t="shared" si="61"/>
        <v>255</v>
      </c>
      <c r="P399" t="str">
        <f t="shared" si="62"/>
        <v>.ElectricViolet-bg{background-color:#8F00FF;}</v>
      </c>
    </row>
    <row r="400" spans="2:16" ht="15.75">
      <c r="B400" s="1" t="s">
        <v>976</v>
      </c>
      <c r="C400" t="s">
        <v>977</v>
      </c>
      <c r="D400">
        <v>255</v>
      </c>
      <c r="E400">
        <v>255</v>
      </c>
      <c r="F400">
        <v>255</v>
      </c>
      <c r="G400" t="str">
        <f t="shared" si="54"/>
        <v>ElectricYellow</v>
      </c>
      <c r="H400" t="str">
        <f t="shared" si="55"/>
        <v>FFFF33</v>
      </c>
      <c r="I400" t="str">
        <f t="shared" si="56"/>
        <v>FF</v>
      </c>
      <c r="J400" t="str">
        <f t="shared" si="57"/>
        <v>FF</v>
      </c>
      <c r="K400" t="str">
        <f t="shared" si="58"/>
        <v>33</v>
      </c>
      <c r="L400">
        <f t="shared" si="59"/>
        <v>255</v>
      </c>
      <c r="M400">
        <f t="shared" si="60"/>
        <v>255</v>
      </c>
      <c r="N400">
        <f t="shared" si="61"/>
        <v>51</v>
      </c>
      <c r="P400" t="str">
        <f t="shared" si="62"/>
        <v>.ElectricYellow-bg{background-color:#FFFF33;}</v>
      </c>
    </row>
    <row r="401" spans="2:16" ht="15.75">
      <c r="B401" s="1" t="s">
        <v>978</v>
      </c>
      <c r="C401" t="s">
        <v>979</v>
      </c>
      <c r="D401">
        <v>79.05</v>
      </c>
      <c r="E401">
        <v>198.9</v>
      </c>
      <c r="F401">
        <v>79.05</v>
      </c>
      <c r="G401" t="str">
        <f t="shared" si="54"/>
        <v>Emerald</v>
      </c>
      <c r="H401" t="str">
        <f t="shared" si="55"/>
        <v>50C878</v>
      </c>
      <c r="I401" t="str">
        <f t="shared" si="56"/>
        <v>50</v>
      </c>
      <c r="J401" t="str">
        <f t="shared" si="57"/>
        <v>C8</v>
      </c>
      <c r="K401" t="str">
        <f t="shared" si="58"/>
        <v>78</v>
      </c>
      <c r="L401">
        <f t="shared" si="59"/>
        <v>80</v>
      </c>
      <c r="M401">
        <f t="shared" si="60"/>
        <v>200</v>
      </c>
      <c r="N401">
        <f t="shared" si="61"/>
        <v>120</v>
      </c>
      <c r="P401" t="str">
        <f t="shared" si="62"/>
        <v>.Emerald-bg{background-color:#50C878;}</v>
      </c>
    </row>
    <row r="402" spans="2:16" ht="15.75">
      <c r="B402" s="1" t="s">
        <v>980</v>
      </c>
      <c r="C402" t="s">
        <v>981</v>
      </c>
      <c r="D402">
        <v>107.1</v>
      </c>
      <c r="E402">
        <v>48.45</v>
      </c>
      <c r="F402">
        <v>107.1</v>
      </c>
      <c r="G402" t="str">
        <f t="shared" si="54"/>
        <v>Eminence</v>
      </c>
      <c r="H402" t="str">
        <f t="shared" si="55"/>
        <v>6C3082</v>
      </c>
      <c r="I402" t="str">
        <f t="shared" si="56"/>
        <v>6C</v>
      </c>
      <c r="J402" t="str">
        <f t="shared" si="57"/>
        <v>30</v>
      </c>
      <c r="K402" t="str">
        <f t="shared" si="58"/>
        <v>82</v>
      </c>
      <c r="L402">
        <f t="shared" si="59"/>
        <v>108</v>
      </c>
      <c r="M402">
        <f t="shared" si="60"/>
        <v>48</v>
      </c>
      <c r="N402">
        <f t="shared" si="61"/>
        <v>130</v>
      </c>
      <c r="P402" t="str">
        <f t="shared" si="62"/>
        <v>.Eminence-bg{background-color:#6C3082;}</v>
      </c>
    </row>
    <row r="403" spans="2:16" ht="15.75">
      <c r="B403" s="1" t="s">
        <v>982</v>
      </c>
      <c r="C403" t="s">
        <v>484</v>
      </c>
      <c r="D403">
        <v>28.05</v>
      </c>
      <c r="E403">
        <v>76.5</v>
      </c>
      <c r="F403">
        <v>28.05</v>
      </c>
      <c r="G403" t="str">
        <f t="shared" si="54"/>
        <v>EnglishGreen</v>
      </c>
      <c r="H403" t="str">
        <f t="shared" si="55"/>
        <v>1B4D3E</v>
      </c>
      <c r="I403" t="str">
        <f t="shared" si="56"/>
        <v>1B</v>
      </c>
      <c r="J403" t="str">
        <f t="shared" si="57"/>
        <v>4D</v>
      </c>
      <c r="K403" t="str">
        <f t="shared" si="58"/>
        <v>3E</v>
      </c>
      <c r="L403">
        <f t="shared" si="59"/>
        <v>27</v>
      </c>
      <c r="M403">
        <f t="shared" si="60"/>
        <v>77</v>
      </c>
      <c r="N403">
        <f t="shared" si="61"/>
        <v>62</v>
      </c>
      <c r="P403" t="str">
        <f t="shared" si="62"/>
        <v>.EnglishGreen-bg{background-color:#1B4D3E;}</v>
      </c>
    </row>
    <row r="404" spans="2:16" ht="15.75">
      <c r="B404" s="1" t="s">
        <v>983</v>
      </c>
      <c r="C404" t="s">
        <v>984</v>
      </c>
      <c r="D404">
        <v>181.05</v>
      </c>
      <c r="E404">
        <v>130.05000000000001</v>
      </c>
      <c r="F404">
        <v>181.05</v>
      </c>
      <c r="G404" t="str">
        <f t="shared" si="54"/>
        <v>EnglishLavender</v>
      </c>
      <c r="H404" t="str">
        <f t="shared" si="55"/>
        <v>B48395</v>
      </c>
      <c r="I404" t="str">
        <f t="shared" si="56"/>
        <v>B4</v>
      </c>
      <c r="J404" t="str">
        <f t="shared" si="57"/>
        <v>83</v>
      </c>
      <c r="K404" t="str">
        <f t="shared" si="58"/>
        <v>95</v>
      </c>
      <c r="L404">
        <f t="shared" si="59"/>
        <v>180</v>
      </c>
      <c r="M404">
        <f t="shared" si="60"/>
        <v>131</v>
      </c>
      <c r="N404">
        <f t="shared" si="61"/>
        <v>149</v>
      </c>
      <c r="P404" t="str">
        <f t="shared" si="62"/>
        <v>.EnglishLavender-bg{background-color:#B48395;}</v>
      </c>
    </row>
    <row r="405" spans="2:16" ht="15.75">
      <c r="B405" s="1" t="s">
        <v>985</v>
      </c>
      <c r="C405" t="s">
        <v>986</v>
      </c>
      <c r="D405">
        <v>170.85</v>
      </c>
      <c r="E405">
        <v>73.95</v>
      </c>
      <c r="F405">
        <v>170.85</v>
      </c>
      <c r="G405" t="str">
        <f t="shared" si="54"/>
        <v>EnglishRed</v>
      </c>
      <c r="H405" t="str">
        <f t="shared" si="55"/>
        <v>AB4B52</v>
      </c>
      <c r="I405" t="str">
        <f t="shared" si="56"/>
        <v>AB</v>
      </c>
      <c r="J405" t="str">
        <f t="shared" si="57"/>
        <v>4B</v>
      </c>
      <c r="K405" t="str">
        <f t="shared" si="58"/>
        <v>52</v>
      </c>
      <c r="L405">
        <f t="shared" si="59"/>
        <v>171</v>
      </c>
      <c r="M405">
        <f t="shared" si="60"/>
        <v>75</v>
      </c>
      <c r="N405">
        <f t="shared" si="61"/>
        <v>82</v>
      </c>
      <c r="P405" t="str">
        <f t="shared" si="62"/>
        <v>.EnglishRed-bg{background-color:#AB4B52;}</v>
      </c>
    </row>
    <row r="406" spans="2:16" ht="15.75">
      <c r="B406" s="1" t="s">
        <v>987</v>
      </c>
      <c r="C406" t="s">
        <v>988</v>
      </c>
      <c r="D406">
        <v>204</v>
      </c>
      <c r="E406">
        <v>71.400000000000006</v>
      </c>
      <c r="F406">
        <v>204</v>
      </c>
      <c r="G406" t="str">
        <f t="shared" si="54"/>
        <v>EnglishVermillion</v>
      </c>
      <c r="H406" t="str">
        <f t="shared" si="55"/>
        <v>CC474B</v>
      </c>
      <c r="I406" t="str">
        <f t="shared" si="56"/>
        <v>CC</v>
      </c>
      <c r="J406" t="str">
        <f t="shared" si="57"/>
        <v>47</v>
      </c>
      <c r="K406" t="str">
        <f t="shared" si="58"/>
        <v>4B</v>
      </c>
      <c r="L406">
        <f t="shared" si="59"/>
        <v>204</v>
      </c>
      <c r="M406">
        <f t="shared" si="60"/>
        <v>71</v>
      </c>
      <c r="N406">
        <f t="shared" si="61"/>
        <v>75</v>
      </c>
      <c r="P406" t="str">
        <f t="shared" si="62"/>
        <v>.EnglishVermillion-bg{background-color:#CC474B;}</v>
      </c>
    </row>
    <row r="407" spans="2:16" ht="15.75">
      <c r="B407" s="1" t="s">
        <v>989</v>
      </c>
      <c r="C407" t="s">
        <v>990</v>
      </c>
      <c r="D407">
        <v>86.7</v>
      </c>
      <c r="E407">
        <v>61.2</v>
      </c>
      <c r="F407">
        <v>86.7</v>
      </c>
      <c r="G407" t="str">
        <f t="shared" si="54"/>
        <v>EnglishViolet</v>
      </c>
      <c r="H407" t="str">
        <f t="shared" si="55"/>
        <v>563C5C</v>
      </c>
      <c r="I407" t="str">
        <f t="shared" si="56"/>
        <v>56</v>
      </c>
      <c r="J407" t="str">
        <f t="shared" si="57"/>
        <v>3C</v>
      </c>
      <c r="K407" t="str">
        <f t="shared" si="58"/>
        <v>5C</v>
      </c>
      <c r="L407">
        <f t="shared" si="59"/>
        <v>86</v>
      </c>
      <c r="M407">
        <f t="shared" si="60"/>
        <v>60</v>
      </c>
      <c r="N407">
        <f t="shared" si="61"/>
        <v>92</v>
      </c>
      <c r="P407" t="str">
        <f t="shared" si="62"/>
        <v>.EnglishViolet-bg{background-color:#563C5C;}</v>
      </c>
    </row>
    <row r="408" spans="2:16" ht="15.75">
      <c r="B408" s="1" t="s">
        <v>991</v>
      </c>
      <c r="C408" t="s">
        <v>992</v>
      </c>
      <c r="D408">
        <v>150.44999999999999</v>
      </c>
      <c r="E408">
        <v>198.9</v>
      </c>
      <c r="F408">
        <v>150.44999999999999</v>
      </c>
      <c r="G408" t="str">
        <f t="shared" si="54"/>
        <v>EtonBlue</v>
      </c>
      <c r="H408" t="str">
        <f t="shared" si="55"/>
        <v>96C8A2</v>
      </c>
      <c r="I408" t="str">
        <f t="shared" si="56"/>
        <v>96</v>
      </c>
      <c r="J408" t="str">
        <f t="shared" si="57"/>
        <v>C8</v>
      </c>
      <c r="K408" t="str">
        <f t="shared" si="58"/>
        <v>A2</v>
      </c>
      <c r="L408">
        <f t="shared" si="59"/>
        <v>150</v>
      </c>
      <c r="M408">
        <f t="shared" si="60"/>
        <v>200</v>
      </c>
      <c r="N408">
        <f t="shared" si="61"/>
        <v>162</v>
      </c>
      <c r="P408" t="str">
        <f t="shared" si="62"/>
        <v>.EtonBlue-bg{background-color:#96C8A2;}</v>
      </c>
    </row>
    <row r="409" spans="2:16" ht="15.75">
      <c r="B409" s="1" t="s">
        <v>993</v>
      </c>
      <c r="C409" t="s">
        <v>994</v>
      </c>
      <c r="D409">
        <v>68.849999999999994</v>
      </c>
      <c r="E409">
        <v>214.2</v>
      </c>
      <c r="F409">
        <v>68.849999999999994</v>
      </c>
      <c r="G409" t="str">
        <f t="shared" si="54"/>
        <v>Eucalyptus</v>
      </c>
      <c r="H409" t="str">
        <f t="shared" si="55"/>
        <v>44D7A8</v>
      </c>
      <c r="I409" t="str">
        <f t="shared" si="56"/>
        <v>44</v>
      </c>
      <c r="J409" t="str">
        <f t="shared" si="57"/>
        <v>D7</v>
      </c>
      <c r="K409" t="str">
        <f t="shared" si="58"/>
        <v>A8</v>
      </c>
      <c r="L409">
        <f t="shared" si="59"/>
        <v>68</v>
      </c>
      <c r="M409">
        <f t="shared" si="60"/>
        <v>215</v>
      </c>
      <c r="N409">
        <f t="shared" si="61"/>
        <v>168</v>
      </c>
      <c r="P409" t="str">
        <f t="shared" si="62"/>
        <v>.Eucalyptus-bg{background-color:#44D7A8;}</v>
      </c>
    </row>
    <row r="410" spans="2:16" ht="15.75">
      <c r="B410" s="1" t="s">
        <v>995</v>
      </c>
      <c r="C410" t="s">
        <v>534</v>
      </c>
      <c r="D410">
        <v>193.8</v>
      </c>
      <c r="E410">
        <v>153</v>
      </c>
      <c r="F410">
        <v>193.8</v>
      </c>
      <c r="G410" t="str">
        <f t="shared" si="54"/>
        <v>Fallow</v>
      </c>
      <c r="H410" t="str">
        <f t="shared" si="55"/>
        <v>C19A6B</v>
      </c>
      <c r="I410" t="str">
        <f t="shared" si="56"/>
        <v>C1</v>
      </c>
      <c r="J410" t="str">
        <f t="shared" si="57"/>
        <v>9A</v>
      </c>
      <c r="K410" t="str">
        <f t="shared" si="58"/>
        <v>6B</v>
      </c>
      <c r="L410">
        <f t="shared" si="59"/>
        <v>193</v>
      </c>
      <c r="M410">
        <f t="shared" si="60"/>
        <v>154</v>
      </c>
      <c r="N410">
        <f t="shared" si="61"/>
        <v>107</v>
      </c>
      <c r="P410" t="str">
        <f t="shared" si="62"/>
        <v>.Fallow-bg{background-color:#C19A6B;}</v>
      </c>
    </row>
    <row r="411" spans="2:16" ht="15.75">
      <c r="B411" s="1" t="s">
        <v>996</v>
      </c>
      <c r="C411" t="s">
        <v>997</v>
      </c>
      <c r="D411">
        <v>127.5</v>
      </c>
      <c r="E411">
        <v>22.95</v>
      </c>
      <c r="F411">
        <v>127.5</v>
      </c>
      <c r="G411" t="str">
        <f t="shared" si="54"/>
        <v>FaluRed</v>
      </c>
      <c r="H411" t="str">
        <f t="shared" si="55"/>
        <v>801818</v>
      </c>
      <c r="I411" t="str">
        <f t="shared" si="56"/>
        <v>80</v>
      </c>
      <c r="J411" t="str">
        <f t="shared" si="57"/>
        <v>18</v>
      </c>
      <c r="K411" t="str">
        <f t="shared" si="58"/>
        <v>18</v>
      </c>
      <c r="L411">
        <f t="shared" si="59"/>
        <v>128</v>
      </c>
      <c r="M411">
        <f t="shared" si="60"/>
        <v>24</v>
      </c>
      <c r="N411">
        <f t="shared" si="61"/>
        <v>24</v>
      </c>
      <c r="P411" t="str">
        <f t="shared" si="62"/>
        <v>.FaluRed-bg{background-color:#801818;}</v>
      </c>
    </row>
    <row r="412" spans="2:16" ht="15.75">
      <c r="B412" s="1" t="s">
        <v>998</v>
      </c>
      <c r="C412" t="s">
        <v>999</v>
      </c>
      <c r="D412">
        <v>181.05</v>
      </c>
      <c r="E412">
        <v>51</v>
      </c>
      <c r="F412">
        <v>181.05</v>
      </c>
      <c r="G412" t="str">
        <f t="shared" si="54"/>
        <v>Fandango</v>
      </c>
      <c r="H412" t="str">
        <f t="shared" si="55"/>
        <v>B53389</v>
      </c>
      <c r="I412" t="str">
        <f t="shared" si="56"/>
        <v>B5</v>
      </c>
      <c r="J412" t="str">
        <f t="shared" si="57"/>
        <v>33</v>
      </c>
      <c r="K412" t="str">
        <f t="shared" si="58"/>
        <v>89</v>
      </c>
      <c r="L412">
        <f t="shared" si="59"/>
        <v>181</v>
      </c>
      <c r="M412">
        <f t="shared" si="60"/>
        <v>51</v>
      </c>
      <c r="N412">
        <f t="shared" si="61"/>
        <v>137</v>
      </c>
      <c r="P412" t="str">
        <f t="shared" si="62"/>
        <v>.Fandango-bg{background-color:#B53389;}</v>
      </c>
    </row>
    <row r="413" spans="2:16" ht="15.75">
      <c r="B413" s="1" t="s">
        <v>1000</v>
      </c>
      <c r="C413" t="s">
        <v>1001</v>
      </c>
      <c r="D413">
        <v>221.85</v>
      </c>
      <c r="E413">
        <v>81.599999999999994</v>
      </c>
      <c r="F413">
        <v>221.85</v>
      </c>
      <c r="G413" t="str">
        <f t="shared" si="54"/>
        <v>FandangoPink</v>
      </c>
      <c r="H413" t="str">
        <f t="shared" si="55"/>
        <v>DE5285</v>
      </c>
      <c r="I413" t="str">
        <f t="shared" si="56"/>
        <v>DE</v>
      </c>
      <c r="J413" t="str">
        <f t="shared" si="57"/>
        <v>52</v>
      </c>
      <c r="K413" t="str">
        <f t="shared" si="58"/>
        <v>85</v>
      </c>
      <c r="L413">
        <f t="shared" si="59"/>
        <v>222</v>
      </c>
      <c r="M413">
        <f t="shared" si="60"/>
        <v>82</v>
      </c>
      <c r="N413">
        <f t="shared" si="61"/>
        <v>133</v>
      </c>
      <c r="P413" t="str">
        <f t="shared" si="62"/>
        <v>.FandangoPink-bg{background-color:#DE5285;}</v>
      </c>
    </row>
    <row r="414" spans="2:16" ht="15.75">
      <c r="B414" s="1" t="s">
        <v>1002</v>
      </c>
      <c r="C414" t="s">
        <v>1003</v>
      </c>
      <c r="D414">
        <v>244.8</v>
      </c>
      <c r="E414">
        <v>0</v>
      </c>
      <c r="F414">
        <v>244.8</v>
      </c>
      <c r="G414" t="str">
        <f t="shared" si="54"/>
        <v>FashionFuchsia</v>
      </c>
      <c r="H414" t="str">
        <f t="shared" si="55"/>
        <v>F400A1</v>
      </c>
      <c r="I414" t="str">
        <f t="shared" si="56"/>
        <v>F4</v>
      </c>
      <c r="J414" t="str">
        <f t="shared" si="57"/>
        <v>00</v>
      </c>
      <c r="K414" t="str">
        <f t="shared" si="58"/>
        <v>A1</v>
      </c>
      <c r="L414">
        <f t="shared" si="59"/>
        <v>244</v>
      </c>
      <c r="M414">
        <f t="shared" si="60"/>
        <v>0</v>
      </c>
      <c r="N414">
        <f t="shared" si="61"/>
        <v>161</v>
      </c>
      <c r="P414" t="str">
        <f t="shared" si="62"/>
        <v>.FashionFuchsia-bg{background-color:#F400A1;}</v>
      </c>
    </row>
    <row r="415" spans="2:16" ht="15.75">
      <c r="B415" s="1" t="s">
        <v>1004</v>
      </c>
      <c r="C415" t="s">
        <v>1005</v>
      </c>
      <c r="D415">
        <v>229.5</v>
      </c>
      <c r="E415">
        <v>170.85</v>
      </c>
      <c r="F415">
        <v>229.5</v>
      </c>
      <c r="G415" t="str">
        <f t="shared" si="54"/>
        <v>Fawn</v>
      </c>
      <c r="H415" t="str">
        <f t="shared" si="55"/>
        <v>E5AA70</v>
      </c>
      <c r="I415" t="str">
        <f t="shared" si="56"/>
        <v>E5</v>
      </c>
      <c r="J415" t="str">
        <f t="shared" si="57"/>
        <v>AA</v>
      </c>
      <c r="K415" t="str">
        <f t="shared" si="58"/>
        <v>70</v>
      </c>
      <c r="L415">
        <f t="shared" si="59"/>
        <v>229</v>
      </c>
      <c r="M415">
        <f t="shared" si="60"/>
        <v>170</v>
      </c>
      <c r="N415">
        <f t="shared" si="61"/>
        <v>112</v>
      </c>
      <c r="P415" t="str">
        <f t="shared" si="62"/>
        <v>.Fawn-bg{background-color:#E5AA70;}</v>
      </c>
    </row>
    <row r="416" spans="2:16" ht="15.75">
      <c r="B416" s="1" t="s">
        <v>1006</v>
      </c>
      <c r="C416" t="s">
        <v>1007</v>
      </c>
      <c r="D416">
        <v>76.5</v>
      </c>
      <c r="E416">
        <v>91.8</v>
      </c>
      <c r="F416">
        <v>76.5</v>
      </c>
      <c r="G416" t="str">
        <f t="shared" si="54"/>
        <v>Feldgrau</v>
      </c>
      <c r="H416" t="str">
        <f t="shared" si="55"/>
        <v>4D5D53</v>
      </c>
      <c r="I416" t="str">
        <f t="shared" si="56"/>
        <v>4D</v>
      </c>
      <c r="J416" t="str">
        <f t="shared" si="57"/>
        <v>5D</v>
      </c>
      <c r="K416" t="str">
        <f t="shared" si="58"/>
        <v>53</v>
      </c>
      <c r="L416">
        <f t="shared" si="59"/>
        <v>77</v>
      </c>
      <c r="M416">
        <f t="shared" si="60"/>
        <v>93</v>
      </c>
      <c r="N416">
        <f t="shared" si="61"/>
        <v>83</v>
      </c>
      <c r="P416" t="str">
        <f t="shared" si="62"/>
        <v>.Feldgrau-bg{background-color:#4D5D53;}</v>
      </c>
    </row>
    <row r="417" spans="2:16" ht="15.75">
      <c r="B417" s="1" t="s">
        <v>1008</v>
      </c>
      <c r="C417" t="s">
        <v>1009</v>
      </c>
      <c r="D417">
        <v>252.45</v>
      </c>
      <c r="E417">
        <v>214.2</v>
      </c>
      <c r="F417">
        <v>252.45</v>
      </c>
      <c r="G417" t="str">
        <f t="shared" si="54"/>
        <v>Feldspar</v>
      </c>
      <c r="H417" t="str">
        <f t="shared" si="55"/>
        <v>FDD5B1</v>
      </c>
      <c r="I417" t="str">
        <f t="shared" si="56"/>
        <v>FD</v>
      </c>
      <c r="J417" t="str">
        <f t="shared" si="57"/>
        <v>D5</v>
      </c>
      <c r="K417" t="str">
        <f t="shared" si="58"/>
        <v>B1</v>
      </c>
      <c r="L417">
        <f t="shared" si="59"/>
        <v>253</v>
      </c>
      <c r="M417">
        <f t="shared" si="60"/>
        <v>213</v>
      </c>
      <c r="N417">
        <f t="shared" si="61"/>
        <v>177</v>
      </c>
      <c r="P417" t="str">
        <f t="shared" si="62"/>
        <v>.Feldspar-bg{background-color:#FDD5B1;}</v>
      </c>
    </row>
    <row r="418" spans="2:16" ht="15.75">
      <c r="B418" s="1" t="s">
        <v>1010</v>
      </c>
      <c r="C418" t="s">
        <v>1011</v>
      </c>
      <c r="D418">
        <v>79.05</v>
      </c>
      <c r="E418">
        <v>119.85</v>
      </c>
      <c r="F418">
        <v>79.05</v>
      </c>
      <c r="G418" t="str">
        <f t="shared" si="54"/>
        <v>FernGreen</v>
      </c>
      <c r="H418" t="str">
        <f t="shared" si="55"/>
        <v>4F7942</v>
      </c>
      <c r="I418" t="str">
        <f t="shared" si="56"/>
        <v>4F</v>
      </c>
      <c r="J418" t="str">
        <f t="shared" si="57"/>
        <v>79</v>
      </c>
      <c r="K418" t="str">
        <f t="shared" si="58"/>
        <v>42</v>
      </c>
      <c r="L418">
        <f t="shared" si="59"/>
        <v>79</v>
      </c>
      <c r="M418">
        <f t="shared" si="60"/>
        <v>121</v>
      </c>
      <c r="N418">
        <f t="shared" si="61"/>
        <v>66</v>
      </c>
      <c r="P418" t="str">
        <f t="shared" si="62"/>
        <v>.FernGreen-bg{background-color:#4F7942;}</v>
      </c>
    </row>
    <row r="419" spans="2:16" ht="15.75">
      <c r="B419" s="1" t="s">
        <v>1012</v>
      </c>
      <c r="C419" t="s">
        <v>1013</v>
      </c>
      <c r="D419">
        <v>255</v>
      </c>
      <c r="E419">
        <v>40.799999999999997</v>
      </c>
      <c r="F419">
        <v>255</v>
      </c>
      <c r="G419" t="str">
        <f t="shared" si="54"/>
        <v>FerrariRed</v>
      </c>
      <c r="H419" t="str">
        <f t="shared" si="55"/>
        <v>FF2800</v>
      </c>
      <c r="I419" t="str">
        <f t="shared" si="56"/>
        <v>FF</v>
      </c>
      <c r="J419" t="str">
        <f t="shared" si="57"/>
        <v>28</v>
      </c>
      <c r="K419" t="str">
        <f t="shared" si="58"/>
        <v>00</v>
      </c>
      <c r="L419">
        <f t="shared" si="59"/>
        <v>255</v>
      </c>
      <c r="M419">
        <f t="shared" si="60"/>
        <v>40</v>
      </c>
      <c r="N419">
        <f t="shared" si="61"/>
        <v>0</v>
      </c>
      <c r="P419" t="str">
        <f t="shared" si="62"/>
        <v>.FerrariRed-bg{background-color:#FF2800;}</v>
      </c>
    </row>
    <row r="420" spans="2:16" ht="15.75">
      <c r="B420" s="1" t="s">
        <v>1014</v>
      </c>
      <c r="C420" t="s">
        <v>1015</v>
      </c>
      <c r="D420">
        <v>107.1</v>
      </c>
      <c r="E420">
        <v>84.15</v>
      </c>
      <c r="F420">
        <v>107.1</v>
      </c>
      <c r="G420" t="str">
        <f t="shared" si="54"/>
        <v>FieldDrab</v>
      </c>
      <c r="H420" t="str">
        <f t="shared" si="55"/>
        <v>6C541E</v>
      </c>
      <c r="I420" t="str">
        <f t="shared" si="56"/>
        <v>6C</v>
      </c>
      <c r="J420" t="str">
        <f t="shared" si="57"/>
        <v>54</v>
      </c>
      <c r="K420" t="str">
        <f t="shared" si="58"/>
        <v>1E</v>
      </c>
      <c r="L420">
        <f t="shared" si="59"/>
        <v>108</v>
      </c>
      <c r="M420">
        <f t="shared" si="60"/>
        <v>84</v>
      </c>
      <c r="N420">
        <f t="shared" si="61"/>
        <v>30</v>
      </c>
      <c r="P420" t="str">
        <f t="shared" si="62"/>
        <v>.FieldDrab-bg{background-color:#6C541E;}</v>
      </c>
    </row>
    <row r="421" spans="2:16" ht="15.75">
      <c r="B421" s="1" t="s">
        <v>1016</v>
      </c>
      <c r="C421" t="s">
        <v>1017</v>
      </c>
      <c r="D421">
        <v>255</v>
      </c>
      <c r="E421">
        <v>84.15</v>
      </c>
      <c r="F421">
        <v>255</v>
      </c>
      <c r="G421" t="str">
        <f t="shared" si="54"/>
        <v>FieryRose</v>
      </c>
      <c r="H421" t="str">
        <f t="shared" si="55"/>
        <v>FF5470</v>
      </c>
      <c r="I421" t="str">
        <f t="shared" si="56"/>
        <v>FF</v>
      </c>
      <c r="J421" t="str">
        <f t="shared" si="57"/>
        <v>54</v>
      </c>
      <c r="K421" t="str">
        <f t="shared" si="58"/>
        <v>70</v>
      </c>
      <c r="L421">
        <f t="shared" si="59"/>
        <v>255</v>
      </c>
      <c r="M421">
        <f t="shared" si="60"/>
        <v>84</v>
      </c>
      <c r="N421">
        <f t="shared" si="61"/>
        <v>112</v>
      </c>
      <c r="P421" t="str">
        <f t="shared" si="62"/>
        <v>.FieryRose-bg{background-color:#FF5470;}</v>
      </c>
    </row>
    <row r="422" spans="2:16" ht="15.75">
      <c r="B422" s="1" t="s">
        <v>1018</v>
      </c>
      <c r="C422" t="s">
        <v>1019</v>
      </c>
      <c r="D422">
        <v>178.5</v>
      </c>
      <c r="E422">
        <v>33.15</v>
      </c>
      <c r="F422">
        <v>178.5</v>
      </c>
      <c r="G422" t="str">
        <f t="shared" si="54"/>
        <v>Firebrick</v>
      </c>
      <c r="H422" t="str">
        <f t="shared" si="55"/>
        <v>B22222</v>
      </c>
      <c r="I422" t="str">
        <f t="shared" si="56"/>
        <v>B2</v>
      </c>
      <c r="J422" t="str">
        <f t="shared" si="57"/>
        <v>22</v>
      </c>
      <c r="K422" t="str">
        <f t="shared" si="58"/>
        <v>22</v>
      </c>
      <c r="L422">
        <f t="shared" si="59"/>
        <v>178</v>
      </c>
      <c r="M422">
        <f t="shared" si="60"/>
        <v>34</v>
      </c>
      <c r="N422">
        <f t="shared" si="61"/>
        <v>34</v>
      </c>
      <c r="P422" t="str">
        <f t="shared" si="62"/>
        <v>.Firebrick-bg{background-color:#B22222;}</v>
      </c>
    </row>
    <row r="423" spans="2:16" ht="15.75">
      <c r="B423" s="1" t="s">
        <v>1020</v>
      </c>
      <c r="C423" t="s">
        <v>1021</v>
      </c>
      <c r="D423">
        <v>206.55</v>
      </c>
      <c r="E423">
        <v>33.15</v>
      </c>
      <c r="F423">
        <v>206.55</v>
      </c>
      <c r="G423" t="str">
        <f t="shared" si="54"/>
        <v>FireEngineRed</v>
      </c>
      <c r="H423" t="str">
        <f t="shared" si="55"/>
        <v>CE2029</v>
      </c>
      <c r="I423" t="str">
        <f t="shared" si="56"/>
        <v>CE</v>
      </c>
      <c r="J423" t="str">
        <f t="shared" si="57"/>
        <v>20</v>
      </c>
      <c r="K423" t="str">
        <f t="shared" si="58"/>
        <v>29</v>
      </c>
      <c r="L423">
        <f t="shared" si="59"/>
        <v>206</v>
      </c>
      <c r="M423">
        <f t="shared" si="60"/>
        <v>32</v>
      </c>
      <c r="N423">
        <f t="shared" si="61"/>
        <v>41</v>
      </c>
      <c r="P423" t="str">
        <f t="shared" si="62"/>
        <v>.FireEngineRed-bg{background-color:#CE2029;}</v>
      </c>
    </row>
    <row r="424" spans="2:16" ht="15.75">
      <c r="B424" s="1" t="s">
        <v>1022</v>
      </c>
      <c r="C424" t="s">
        <v>1023</v>
      </c>
      <c r="D424">
        <v>226.95</v>
      </c>
      <c r="E424">
        <v>89.25</v>
      </c>
      <c r="F424">
        <v>226.95</v>
      </c>
      <c r="G424" t="str">
        <f t="shared" si="54"/>
        <v>Flame</v>
      </c>
      <c r="H424" t="str">
        <f t="shared" si="55"/>
        <v>E25822</v>
      </c>
      <c r="I424" t="str">
        <f t="shared" si="56"/>
        <v>E2</v>
      </c>
      <c r="J424" t="str">
        <f t="shared" si="57"/>
        <v>58</v>
      </c>
      <c r="K424" t="str">
        <f t="shared" si="58"/>
        <v>22</v>
      </c>
      <c r="L424">
        <f t="shared" si="59"/>
        <v>226</v>
      </c>
      <c r="M424">
        <f t="shared" si="60"/>
        <v>88</v>
      </c>
      <c r="N424">
        <f t="shared" si="61"/>
        <v>34</v>
      </c>
      <c r="P424" t="str">
        <f t="shared" si="62"/>
        <v>.Flame-bg{background-color:#E25822;}</v>
      </c>
    </row>
    <row r="425" spans="2:16" ht="15.75">
      <c r="B425" s="1" t="s">
        <v>1024</v>
      </c>
      <c r="C425" t="s">
        <v>1025</v>
      </c>
      <c r="D425">
        <v>252.45</v>
      </c>
      <c r="E425">
        <v>142.80000000000001</v>
      </c>
      <c r="F425">
        <v>252.45</v>
      </c>
      <c r="G425" t="str">
        <f t="shared" si="54"/>
        <v>FlamingoPink</v>
      </c>
      <c r="H425" t="str">
        <f t="shared" si="55"/>
        <v>FC8EAC</v>
      </c>
      <c r="I425" t="str">
        <f t="shared" si="56"/>
        <v>FC</v>
      </c>
      <c r="J425" t="str">
        <f t="shared" si="57"/>
        <v>8E</v>
      </c>
      <c r="K425" t="str">
        <f t="shared" si="58"/>
        <v>AC</v>
      </c>
      <c r="L425">
        <f t="shared" si="59"/>
        <v>252</v>
      </c>
      <c r="M425">
        <f t="shared" si="60"/>
        <v>142</v>
      </c>
      <c r="N425">
        <f t="shared" si="61"/>
        <v>172</v>
      </c>
      <c r="P425" t="str">
        <f t="shared" si="62"/>
        <v>.FlamingoPink-bg{background-color:#FC8EAC;}</v>
      </c>
    </row>
    <row r="426" spans="2:16" ht="15.75">
      <c r="B426" s="1" t="s">
        <v>1026</v>
      </c>
      <c r="C426" t="s">
        <v>478</v>
      </c>
      <c r="D426">
        <v>107.1</v>
      </c>
      <c r="E426">
        <v>68.849999999999994</v>
      </c>
      <c r="F426">
        <v>107.1</v>
      </c>
      <c r="G426" t="str">
        <f t="shared" si="54"/>
        <v>Flattery</v>
      </c>
      <c r="H426" t="str">
        <f t="shared" si="55"/>
        <v>6B4423</v>
      </c>
      <c r="I426" t="str">
        <f t="shared" si="56"/>
        <v>6B</v>
      </c>
      <c r="J426" t="str">
        <f t="shared" si="57"/>
        <v>44</v>
      </c>
      <c r="K426" t="str">
        <f t="shared" si="58"/>
        <v>23</v>
      </c>
      <c r="L426">
        <f t="shared" si="59"/>
        <v>107</v>
      </c>
      <c r="M426">
        <f t="shared" si="60"/>
        <v>68</v>
      </c>
      <c r="N426">
        <f t="shared" si="61"/>
        <v>35</v>
      </c>
      <c r="P426" t="str">
        <f t="shared" si="62"/>
        <v>.Flattery-bg{background-color:#6B4423;}</v>
      </c>
    </row>
    <row r="427" spans="2:16" ht="15.75">
      <c r="B427" s="1" t="s">
        <v>1027</v>
      </c>
      <c r="C427" t="s">
        <v>1028</v>
      </c>
      <c r="D427">
        <v>247.35</v>
      </c>
      <c r="E427">
        <v>232.05</v>
      </c>
      <c r="F427">
        <v>247.35</v>
      </c>
      <c r="G427" t="str">
        <f t="shared" si="54"/>
        <v>Flavescent</v>
      </c>
      <c r="H427" t="str">
        <f t="shared" si="55"/>
        <v>F7E98E</v>
      </c>
      <c r="I427" t="str">
        <f t="shared" si="56"/>
        <v>F7</v>
      </c>
      <c r="J427" t="str">
        <f t="shared" si="57"/>
        <v>E9</v>
      </c>
      <c r="K427" t="str">
        <f t="shared" si="58"/>
        <v>8E</v>
      </c>
      <c r="L427">
        <f t="shared" si="59"/>
        <v>247</v>
      </c>
      <c r="M427">
        <f t="shared" si="60"/>
        <v>233</v>
      </c>
      <c r="N427">
        <f t="shared" si="61"/>
        <v>142</v>
      </c>
      <c r="P427" t="str">
        <f t="shared" si="62"/>
        <v>.Flavescent-bg{background-color:#F7E98E;}</v>
      </c>
    </row>
    <row r="428" spans="2:16" ht="15.75">
      <c r="B428" s="1" t="s">
        <v>1029</v>
      </c>
      <c r="C428" t="s">
        <v>1030</v>
      </c>
      <c r="D428">
        <v>237.15</v>
      </c>
      <c r="E428">
        <v>219.3</v>
      </c>
      <c r="F428">
        <v>237.15</v>
      </c>
      <c r="G428" t="str">
        <f t="shared" si="54"/>
        <v>Flax</v>
      </c>
      <c r="H428" t="str">
        <f t="shared" si="55"/>
        <v>EEDC82</v>
      </c>
      <c r="I428" t="str">
        <f t="shared" si="56"/>
        <v>EE</v>
      </c>
      <c r="J428" t="str">
        <f t="shared" si="57"/>
        <v>DC</v>
      </c>
      <c r="K428" t="str">
        <f t="shared" si="58"/>
        <v>82</v>
      </c>
      <c r="L428">
        <f t="shared" si="59"/>
        <v>238</v>
      </c>
      <c r="M428">
        <f t="shared" si="60"/>
        <v>220</v>
      </c>
      <c r="N428">
        <f t="shared" si="61"/>
        <v>130</v>
      </c>
      <c r="P428" t="str">
        <f t="shared" si="62"/>
        <v>.Flax-bg{background-color:#EEDC82;}</v>
      </c>
    </row>
    <row r="429" spans="2:16" ht="15.75">
      <c r="B429" s="1" t="s">
        <v>1031</v>
      </c>
      <c r="C429" t="s">
        <v>1032</v>
      </c>
      <c r="D429">
        <v>163.19999999999999</v>
      </c>
      <c r="E429">
        <v>0</v>
      </c>
      <c r="F429">
        <v>163.19999999999999</v>
      </c>
      <c r="G429" t="str">
        <f t="shared" si="54"/>
        <v>Flirt</v>
      </c>
      <c r="H429" t="str">
        <f t="shared" si="55"/>
        <v>A2006D</v>
      </c>
      <c r="I429" t="str">
        <f t="shared" si="56"/>
        <v>A2</v>
      </c>
      <c r="J429" t="str">
        <f t="shared" si="57"/>
        <v>00</v>
      </c>
      <c r="K429" t="str">
        <f t="shared" si="58"/>
        <v>6D</v>
      </c>
      <c r="L429">
        <f t="shared" si="59"/>
        <v>162</v>
      </c>
      <c r="M429">
        <f t="shared" si="60"/>
        <v>0</v>
      </c>
      <c r="N429">
        <f t="shared" si="61"/>
        <v>109</v>
      </c>
      <c r="P429" t="str">
        <f t="shared" si="62"/>
        <v>.Flirt-bg{background-color:#A2006D;}</v>
      </c>
    </row>
    <row r="430" spans="2:16" ht="15.75">
      <c r="B430" s="1" t="s">
        <v>1033</v>
      </c>
      <c r="C430" t="s">
        <v>1034</v>
      </c>
      <c r="D430">
        <v>255</v>
      </c>
      <c r="E430">
        <v>249.9</v>
      </c>
      <c r="F430">
        <v>255</v>
      </c>
      <c r="G430" t="str">
        <f t="shared" si="54"/>
        <v>FloralWhite</v>
      </c>
      <c r="H430" t="str">
        <f t="shared" si="55"/>
        <v>FFFAF0</v>
      </c>
      <c r="I430" t="str">
        <f t="shared" si="56"/>
        <v>FF</v>
      </c>
      <c r="J430" t="str">
        <f t="shared" si="57"/>
        <v>FA</v>
      </c>
      <c r="K430" t="str">
        <f t="shared" si="58"/>
        <v>F0</v>
      </c>
      <c r="L430">
        <f t="shared" si="59"/>
        <v>255</v>
      </c>
      <c r="M430">
        <f t="shared" si="60"/>
        <v>250</v>
      </c>
      <c r="N430">
        <f t="shared" si="61"/>
        <v>240</v>
      </c>
      <c r="P430" t="str">
        <f t="shared" si="62"/>
        <v>.FloralWhite-bg{background-color:#FFFAF0;}</v>
      </c>
    </row>
    <row r="431" spans="2:16" ht="15.75">
      <c r="B431" s="1" t="s">
        <v>1035</v>
      </c>
      <c r="C431" t="s">
        <v>244</v>
      </c>
      <c r="D431">
        <v>255</v>
      </c>
      <c r="E431">
        <v>191.25</v>
      </c>
      <c r="F431">
        <v>255</v>
      </c>
      <c r="G431" t="str">
        <f t="shared" si="54"/>
        <v>FluorescentOrange</v>
      </c>
      <c r="H431" t="str">
        <f t="shared" si="55"/>
        <v>FFBF00</v>
      </c>
      <c r="I431" t="str">
        <f t="shared" si="56"/>
        <v>FF</v>
      </c>
      <c r="J431" t="str">
        <f t="shared" si="57"/>
        <v>BF</v>
      </c>
      <c r="K431" t="str">
        <f t="shared" si="58"/>
        <v>00</v>
      </c>
      <c r="L431">
        <f t="shared" si="59"/>
        <v>255</v>
      </c>
      <c r="M431">
        <f t="shared" si="60"/>
        <v>191</v>
      </c>
      <c r="N431">
        <f t="shared" si="61"/>
        <v>0</v>
      </c>
      <c r="P431" t="str">
        <f t="shared" si="62"/>
        <v>.FluorescentOrange-bg{background-color:#FFBF00;}</v>
      </c>
    </row>
    <row r="432" spans="2:16" ht="15.75">
      <c r="B432" s="1" t="s">
        <v>1036</v>
      </c>
      <c r="C432" t="s">
        <v>889</v>
      </c>
      <c r="D432">
        <v>255</v>
      </c>
      <c r="E432">
        <v>20.399999999999999</v>
      </c>
      <c r="F432">
        <v>255</v>
      </c>
      <c r="G432" t="str">
        <f t="shared" si="54"/>
        <v>FluorescentPink</v>
      </c>
      <c r="H432" t="str">
        <f t="shared" si="55"/>
        <v>FF1493</v>
      </c>
      <c r="I432" t="str">
        <f t="shared" si="56"/>
        <v>FF</v>
      </c>
      <c r="J432" t="str">
        <f t="shared" si="57"/>
        <v>14</v>
      </c>
      <c r="K432" t="str">
        <f t="shared" si="58"/>
        <v>93</v>
      </c>
      <c r="L432">
        <f t="shared" si="59"/>
        <v>255</v>
      </c>
      <c r="M432">
        <f t="shared" si="60"/>
        <v>20</v>
      </c>
      <c r="N432">
        <f t="shared" si="61"/>
        <v>147</v>
      </c>
      <c r="P432" t="str">
        <f t="shared" si="62"/>
        <v>.FluorescentPink-bg{background-color:#FF1493;}</v>
      </c>
    </row>
    <row r="433" spans="2:16" ht="15.75">
      <c r="B433" s="1" t="s">
        <v>1037</v>
      </c>
      <c r="C433" t="s">
        <v>969</v>
      </c>
      <c r="D433">
        <v>204</v>
      </c>
      <c r="E433">
        <v>255</v>
      </c>
      <c r="F433">
        <v>204</v>
      </c>
      <c r="G433" t="str">
        <f t="shared" si="54"/>
        <v>FluorescentYellow</v>
      </c>
      <c r="H433" t="str">
        <f t="shared" si="55"/>
        <v>CCFF00</v>
      </c>
      <c r="I433" t="str">
        <f t="shared" si="56"/>
        <v>CC</v>
      </c>
      <c r="J433" t="str">
        <f t="shared" si="57"/>
        <v>FF</v>
      </c>
      <c r="K433" t="str">
        <f t="shared" si="58"/>
        <v>00</v>
      </c>
      <c r="L433">
        <f t="shared" si="59"/>
        <v>204</v>
      </c>
      <c r="M433">
        <f t="shared" si="60"/>
        <v>255</v>
      </c>
      <c r="N433">
        <f t="shared" si="61"/>
        <v>0</v>
      </c>
      <c r="P433" t="str">
        <f t="shared" si="62"/>
        <v>.FluorescentYellow-bg{background-color:#CCFF00;}</v>
      </c>
    </row>
    <row r="434" spans="2:16" ht="15.75">
      <c r="B434" s="1" t="s">
        <v>1038</v>
      </c>
      <c r="C434" t="s">
        <v>1039</v>
      </c>
      <c r="D434">
        <v>255</v>
      </c>
      <c r="E434">
        <v>0</v>
      </c>
      <c r="F434">
        <v>255</v>
      </c>
      <c r="G434" t="str">
        <f t="shared" si="54"/>
        <v>Folly</v>
      </c>
      <c r="H434" t="str">
        <f t="shared" si="55"/>
        <v>FF004F</v>
      </c>
      <c r="I434" t="str">
        <f t="shared" si="56"/>
        <v>FF</v>
      </c>
      <c r="J434" t="str">
        <f t="shared" si="57"/>
        <v>00</v>
      </c>
      <c r="K434" t="str">
        <f t="shared" si="58"/>
        <v>4F</v>
      </c>
      <c r="L434">
        <f t="shared" si="59"/>
        <v>255</v>
      </c>
      <c r="M434">
        <f t="shared" si="60"/>
        <v>0</v>
      </c>
      <c r="N434">
        <f t="shared" si="61"/>
        <v>79</v>
      </c>
      <c r="P434" t="str">
        <f t="shared" si="62"/>
        <v>.Folly-bg{background-color:#FF004F;}</v>
      </c>
    </row>
    <row r="435" spans="2:16" ht="15.75">
      <c r="B435" s="1" t="s">
        <v>1040</v>
      </c>
      <c r="C435" t="s">
        <v>1041</v>
      </c>
      <c r="D435">
        <v>0</v>
      </c>
      <c r="E435">
        <v>68.849999999999994</v>
      </c>
      <c r="F435">
        <v>0</v>
      </c>
      <c r="G435" t="str">
        <f t="shared" si="54"/>
        <v>ForestGreenTraditional</v>
      </c>
      <c r="H435" t="str">
        <f t="shared" si="55"/>
        <v>014421</v>
      </c>
      <c r="I435" t="str">
        <f t="shared" si="56"/>
        <v>01</v>
      </c>
      <c r="J435" t="str">
        <f t="shared" si="57"/>
        <v>44</v>
      </c>
      <c r="K435" t="str">
        <f t="shared" si="58"/>
        <v>21</v>
      </c>
      <c r="L435">
        <f t="shared" si="59"/>
        <v>1</v>
      </c>
      <c r="M435">
        <f t="shared" si="60"/>
        <v>68</v>
      </c>
      <c r="N435">
        <f t="shared" si="61"/>
        <v>33</v>
      </c>
      <c r="P435" t="str">
        <f t="shared" si="62"/>
        <v>.ForestGreenTraditional-bg{background-color:#014421;}</v>
      </c>
    </row>
    <row r="436" spans="2:16" ht="15.75">
      <c r="B436" s="1" t="s">
        <v>1042</v>
      </c>
      <c r="C436" t="s">
        <v>1043</v>
      </c>
      <c r="D436">
        <v>33.15</v>
      </c>
      <c r="E436">
        <v>140.25</v>
      </c>
      <c r="F436">
        <v>33.15</v>
      </c>
      <c r="G436" t="str">
        <f t="shared" si="54"/>
        <v>ForestGreenWeb</v>
      </c>
      <c r="H436" t="str">
        <f t="shared" si="55"/>
        <v>228B22</v>
      </c>
      <c r="I436" t="str">
        <f t="shared" si="56"/>
        <v>22</v>
      </c>
      <c r="J436" t="str">
        <f t="shared" si="57"/>
        <v>8B</v>
      </c>
      <c r="K436" t="str">
        <f t="shared" si="58"/>
        <v>22</v>
      </c>
      <c r="L436">
        <f t="shared" si="59"/>
        <v>34</v>
      </c>
      <c r="M436">
        <f t="shared" si="60"/>
        <v>139</v>
      </c>
      <c r="N436">
        <f t="shared" si="61"/>
        <v>34</v>
      </c>
      <c r="P436" t="str">
        <f t="shared" si="62"/>
        <v>.ForestGreenWeb-bg{background-color:#228B22;}</v>
      </c>
    </row>
    <row r="437" spans="2:16" ht="15.75">
      <c r="B437" s="1" t="s">
        <v>1044</v>
      </c>
      <c r="C437" t="s">
        <v>526</v>
      </c>
      <c r="D437">
        <v>165.75</v>
      </c>
      <c r="E437">
        <v>122.4</v>
      </c>
      <c r="F437">
        <v>165.75</v>
      </c>
      <c r="G437" t="str">
        <f t="shared" si="54"/>
        <v>FrenchBeige</v>
      </c>
      <c r="H437" t="str">
        <f t="shared" si="55"/>
        <v>A67B5B</v>
      </c>
      <c r="I437" t="str">
        <f t="shared" si="56"/>
        <v>A6</v>
      </c>
      <c r="J437" t="str">
        <f t="shared" si="57"/>
        <v>7B</v>
      </c>
      <c r="K437" t="str">
        <f t="shared" si="58"/>
        <v>5B</v>
      </c>
      <c r="L437">
        <f t="shared" si="59"/>
        <v>166</v>
      </c>
      <c r="M437">
        <f t="shared" si="60"/>
        <v>123</v>
      </c>
      <c r="N437">
        <f t="shared" si="61"/>
        <v>91</v>
      </c>
      <c r="P437" t="str">
        <f t="shared" si="62"/>
        <v>.FrenchBeige-bg{background-color:#A67B5B;}</v>
      </c>
    </row>
    <row r="438" spans="2:16" ht="15.75">
      <c r="B438" s="1" t="s">
        <v>1045</v>
      </c>
      <c r="C438" t="s">
        <v>1046</v>
      </c>
      <c r="D438">
        <v>132.6</v>
      </c>
      <c r="E438">
        <v>109.65</v>
      </c>
      <c r="F438">
        <v>132.6</v>
      </c>
      <c r="G438" t="str">
        <f t="shared" si="54"/>
        <v>FrenchBistre</v>
      </c>
      <c r="H438" t="str">
        <f t="shared" si="55"/>
        <v>856D4D</v>
      </c>
      <c r="I438" t="str">
        <f t="shared" si="56"/>
        <v>85</v>
      </c>
      <c r="J438" t="str">
        <f t="shared" si="57"/>
        <v>6D</v>
      </c>
      <c r="K438" t="str">
        <f t="shared" si="58"/>
        <v>4D</v>
      </c>
      <c r="L438">
        <f t="shared" si="59"/>
        <v>133</v>
      </c>
      <c r="M438">
        <f t="shared" si="60"/>
        <v>109</v>
      </c>
      <c r="N438">
        <f t="shared" si="61"/>
        <v>77</v>
      </c>
      <c r="P438" t="str">
        <f t="shared" si="62"/>
        <v>.FrenchBistre-bg{background-color:#856D4D;}</v>
      </c>
    </row>
    <row r="439" spans="2:16" ht="15.75">
      <c r="B439" s="1" t="s">
        <v>1047</v>
      </c>
      <c r="C439" t="s">
        <v>1048</v>
      </c>
      <c r="D439">
        <v>0</v>
      </c>
      <c r="E439">
        <v>114.75</v>
      </c>
      <c r="F439">
        <v>0</v>
      </c>
      <c r="G439" t="str">
        <f t="shared" si="54"/>
        <v>FrenchBlue</v>
      </c>
      <c r="H439" t="str">
        <f t="shared" si="55"/>
        <v>0072BB</v>
      </c>
      <c r="I439" t="str">
        <f t="shared" si="56"/>
        <v>00</v>
      </c>
      <c r="J439" t="str">
        <f t="shared" si="57"/>
        <v>72</v>
      </c>
      <c r="K439" t="str">
        <f t="shared" si="58"/>
        <v>BB</v>
      </c>
      <c r="L439">
        <f t="shared" si="59"/>
        <v>0</v>
      </c>
      <c r="M439">
        <f t="shared" si="60"/>
        <v>114</v>
      </c>
      <c r="N439">
        <f t="shared" si="61"/>
        <v>187</v>
      </c>
      <c r="P439" t="str">
        <f t="shared" si="62"/>
        <v>.FrenchBlue-bg{background-color:#0072BB;}</v>
      </c>
    </row>
    <row r="440" spans="2:16" ht="15.75">
      <c r="B440" s="1" t="s">
        <v>1049</v>
      </c>
      <c r="C440" t="s">
        <v>1050</v>
      </c>
      <c r="D440">
        <v>252.45</v>
      </c>
      <c r="E440">
        <v>63.75</v>
      </c>
      <c r="F440">
        <v>252.45</v>
      </c>
      <c r="G440" t="str">
        <f t="shared" si="54"/>
        <v>FrenchFuchsia</v>
      </c>
      <c r="H440" t="str">
        <f t="shared" si="55"/>
        <v>FD3F92</v>
      </c>
      <c r="I440" t="str">
        <f t="shared" si="56"/>
        <v>FD</v>
      </c>
      <c r="J440" t="str">
        <f t="shared" si="57"/>
        <v>3F</v>
      </c>
      <c r="K440" t="str">
        <f t="shared" si="58"/>
        <v>92</v>
      </c>
      <c r="L440">
        <f t="shared" si="59"/>
        <v>253</v>
      </c>
      <c r="M440">
        <f t="shared" si="60"/>
        <v>63</v>
      </c>
      <c r="N440">
        <f t="shared" si="61"/>
        <v>146</v>
      </c>
      <c r="P440" t="str">
        <f t="shared" si="62"/>
        <v>.FrenchFuchsia-bg{background-color:#FD3F92;}</v>
      </c>
    </row>
    <row r="441" spans="2:16" ht="15.75">
      <c r="B441" s="1" t="s">
        <v>1051</v>
      </c>
      <c r="C441" t="s">
        <v>1052</v>
      </c>
      <c r="D441">
        <v>135.15</v>
      </c>
      <c r="E441">
        <v>96.9</v>
      </c>
      <c r="F441">
        <v>135.15</v>
      </c>
      <c r="G441" t="str">
        <f t="shared" si="54"/>
        <v>FrenchLilac</v>
      </c>
      <c r="H441" t="str">
        <f t="shared" si="55"/>
        <v>86608E</v>
      </c>
      <c r="I441" t="str">
        <f t="shared" si="56"/>
        <v>86</v>
      </c>
      <c r="J441" t="str">
        <f t="shared" si="57"/>
        <v>60</v>
      </c>
      <c r="K441" t="str">
        <f t="shared" si="58"/>
        <v>8E</v>
      </c>
      <c r="L441">
        <f t="shared" si="59"/>
        <v>134</v>
      </c>
      <c r="M441">
        <f t="shared" si="60"/>
        <v>96</v>
      </c>
      <c r="N441">
        <f t="shared" si="61"/>
        <v>142</v>
      </c>
      <c r="P441" t="str">
        <f t="shared" si="62"/>
        <v>.FrenchLilac-bg{background-color:#86608E;}</v>
      </c>
    </row>
    <row r="442" spans="2:16" ht="15.75">
      <c r="B442" s="1" t="s">
        <v>1053</v>
      </c>
      <c r="C442" t="s">
        <v>1054</v>
      </c>
      <c r="D442">
        <v>158.1</v>
      </c>
      <c r="E442">
        <v>252.45</v>
      </c>
      <c r="F442">
        <v>158.1</v>
      </c>
      <c r="G442" t="str">
        <f t="shared" si="54"/>
        <v>FrenchLime</v>
      </c>
      <c r="H442" t="str">
        <f t="shared" si="55"/>
        <v>9EFD38</v>
      </c>
      <c r="I442" t="str">
        <f t="shared" si="56"/>
        <v>9E</v>
      </c>
      <c r="J442" t="str">
        <f t="shared" si="57"/>
        <v>FD</v>
      </c>
      <c r="K442" t="str">
        <f t="shared" si="58"/>
        <v>38</v>
      </c>
      <c r="L442">
        <f t="shared" si="59"/>
        <v>158</v>
      </c>
      <c r="M442">
        <f t="shared" si="60"/>
        <v>253</v>
      </c>
      <c r="N442">
        <f t="shared" si="61"/>
        <v>56</v>
      </c>
      <c r="P442" t="str">
        <f t="shared" si="62"/>
        <v>.FrenchLime-bg{background-color:#9EFD38;}</v>
      </c>
    </row>
    <row r="443" spans="2:16" ht="15.75">
      <c r="B443" s="1" t="s">
        <v>1055</v>
      </c>
      <c r="C443" t="s">
        <v>883</v>
      </c>
      <c r="D443">
        <v>211.65</v>
      </c>
      <c r="E443">
        <v>114.75</v>
      </c>
      <c r="F443">
        <v>211.65</v>
      </c>
      <c r="G443" t="str">
        <f t="shared" si="54"/>
        <v>FrenchMauve</v>
      </c>
      <c r="H443" t="str">
        <f t="shared" si="55"/>
        <v>D473D4</v>
      </c>
      <c r="I443" t="str">
        <f t="shared" si="56"/>
        <v>D4</v>
      </c>
      <c r="J443" t="str">
        <f t="shared" si="57"/>
        <v>73</v>
      </c>
      <c r="K443" t="str">
        <f t="shared" si="58"/>
        <v>D4</v>
      </c>
      <c r="L443">
        <f t="shared" si="59"/>
        <v>212</v>
      </c>
      <c r="M443">
        <f t="shared" si="60"/>
        <v>115</v>
      </c>
      <c r="N443">
        <f t="shared" si="61"/>
        <v>212</v>
      </c>
      <c r="P443" t="str">
        <f t="shared" si="62"/>
        <v>.FrenchMauve-bg{background-color:#D473D4;}</v>
      </c>
    </row>
    <row r="444" spans="2:16" ht="15.75">
      <c r="B444" s="1" t="s">
        <v>1056</v>
      </c>
      <c r="C444" t="s">
        <v>1057</v>
      </c>
      <c r="D444">
        <v>252.45</v>
      </c>
      <c r="E444">
        <v>107.1</v>
      </c>
      <c r="F444">
        <v>252.45</v>
      </c>
      <c r="G444" t="str">
        <f t="shared" si="54"/>
        <v>FrenchPink</v>
      </c>
      <c r="H444" t="str">
        <f t="shared" si="55"/>
        <v>FD6C9E</v>
      </c>
      <c r="I444" t="str">
        <f t="shared" si="56"/>
        <v>FD</v>
      </c>
      <c r="J444" t="str">
        <f t="shared" si="57"/>
        <v>6C</v>
      </c>
      <c r="K444" t="str">
        <f t="shared" si="58"/>
        <v>9E</v>
      </c>
      <c r="L444">
        <f t="shared" si="59"/>
        <v>253</v>
      </c>
      <c r="M444">
        <f t="shared" si="60"/>
        <v>108</v>
      </c>
      <c r="N444">
        <f t="shared" si="61"/>
        <v>158</v>
      </c>
      <c r="P444" t="str">
        <f t="shared" si="62"/>
        <v>.FrenchPink-bg{background-color:#FD6C9E;}</v>
      </c>
    </row>
    <row r="445" spans="2:16" ht="15.75">
      <c r="B445" s="1" t="s">
        <v>1058</v>
      </c>
      <c r="C445" t="s">
        <v>1059</v>
      </c>
      <c r="D445">
        <v>130.05000000000001</v>
      </c>
      <c r="E445">
        <v>20.399999999999999</v>
      </c>
      <c r="F445">
        <v>130.05000000000001</v>
      </c>
      <c r="G445" t="str">
        <f t="shared" si="54"/>
        <v>FrenchPlum</v>
      </c>
      <c r="H445" t="str">
        <f t="shared" si="55"/>
        <v>811453</v>
      </c>
      <c r="I445" t="str">
        <f t="shared" si="56"/>
        <v>81</v>
      </c>
      <c r="J445" t="str">
        <f t="shared" si="57"/>
        <v>14</v>
      </c>
      <c r="K445" t="str">
        <f t="shared" si="58"/>
        <v>53</v>
      </c>
      <c r="L445">
        <f t="shared" si="59"/>
        <v>129</v>
      </c>
      <c r="M445">
        <f t="shared" si="60"/>
        <v>20</v>
      </c>
      <c r="N445">
        <f t="shared" si="61"/>
        <v>83</v>
      </c>
      <c r="P445" t="str">
        <f t="shared" si="62"/>
        <v>.FrenchPlum-bg{background-color:#811453;}</v>
      </c>
    </row>
    <row r="446" spans="2:16" ht="15.75">
      <c r="B446" s="1" t="s">
        <v>1060</v>
      </c>
      <c r="C446" t="s">
        <v>1061</v>
      </c>
      <c r="D446">
        <v>79.05</v>
      </c>
      <c r="E446">
        <v>22.95</v>
      </c>
      <c r="F446">
        <v>79.05</v>
      </c>
      <c r="G446" t="str">
        <f t="shared" si="54"/>
        <v>FrenchPuce</v>
      </c>
      <c r="H446" t="str">
        <f t="shared" si="55"/>
        <v>4E1609</v>
      </c>
      <c r="I446" t="str">
        <f t="shared" si="56"/>
        <v>4E</v>
      </c>
      <c r="J446" t="str">
        <f t="shared" si="57"/>
        <v>16</v>
      </c>
      <c r="K446" t="str">
        <f t="shared" si="58"/>
        <v>09</v>
      </c>
      <c r="L446">
        <f t="shared" si="59"/>
        <v>78</v>
      </c>
      <c r="M446">
        <f t="shared" si="60"/>
        <v>22</v>
      </c>
      <c r="N446">
        <f t="shared" si="61"/>
        <v>9</v>
      </c>
      <c r="P446" t="str">
        <f t="shared" si="62"/>
        <v>.FrenchPuce-bg{background-color:#4E1609;}</v>
      </c>
    </row>
    <row r="447" spans="2:16" ht="15.75">
      <c r="B447" s="1" t="s">
        <v>1062</v>
      </c>
      <c r="C447" t="s">
        <v>1063</v>
      </c>
      <c r="D447">
        <v>198.9</v>
      </c>
      <c r="E447">
        <v>43.35</v>
      </c>
      <c r="F447">
        <v>198.9</v>
      </c>
      <c r="G447" t="str">
        <f t="shared" si="54"/>
        <v>FrenchRaspberry</v>
      </c>
      <c r="H447" t="str">
        <f t="shared" si="55"/>
        <v>C72C48</v>
      </c>
      <c r="I447" t="str">
        <f t="shared" si="56"/>
        <v>C7</v>
      </c>
      <c r="J447" t="str">
        <f t="shared" si="57"/>
        <v>2C</v>
      </c>
      <c r="K447" t="str">
        <f t="shared" si="58"/>
        <v>48</v>
      </c>
      <c r="L447">
        <f t="shared" si="59"/>
        <v>199</v>
      </c>
      <c r="M447">
        <f t="shared" si="60"/>
        <v>44</v>
      </c>
      <c r="N447">
        <f t="shared" si="61"/>
        <v>72</v>
      </c>
      <c r="P447" t="str">
        <f t="shared" si="62"/>
        <v>.FrenchRaspberry-bg{background-color:#C72C48;}</v>
      </c>
    </row>
    <row r="448" spans="2:16" ht="15.75">
      <c r="B448" s="1" t="s">
        <v>1064</v>
      </c>
      <c r="C448" t="s">
        <v>1065</v>
      </c>
      <c r="D448">
        <v>244.8</v>
      </c>
      <c r="E448">
        <v>73.95</v>
      </c>
      <c r="F448">
        <v>244.8</v>
      </c>
      <c r="G448" t="str">
        <f t="shared" si="54"/>
        <v>FrenchRose</v>
      </c>
      <c r="H448" t="str">
        <f t="shared" si="55"/>
        <v>F64A8A</v>
      </c>
      <c r="I448" t="str">
        <f t="shared" si="56"/>
        <v>F6</v>
      </c>
      <c r="J448" t="str">
        <f t="shared" si="57"/>
        <v>4A</v>
      </c>
      <c r="K448" t="str">
        <f t="shared" si="58"/>
        <v>8A</v>
      </c>
      <c r="L448">
        <f t="shared" si="59"/>
        <v>246</v>
      </c>
      <c r="M448">
        <f t="shared" si="60"/>
        <v>74</v>
      </c>
      <c r="N448">
        <f t="shared" si="61"/>
        <v>138</v>
      </c>
      <c r="P448" t="str">
        <f t="shared" si="62"/>
        <v>.FrenchRose-bg{background-color:#F64A8A;}</v>
      </c>
    </row>
    <row r="449" spans="2:16" ht="15.75">
      <c r="B449" s="1" t="s">
        <v>1066</v>
      </c>
      <c r="C449" t="s">
        <v>1067</v>
      </c>
      <c r="D449">
        <v>119.85</v>
      </c>
      <c r="E449">
        <v>181.05</v>
      </c>
      <c r="F449">
        <v>119.85</v>
      </c>
      <c r="G449" t="str">
        <f t="shared" si="54"/>
        <v>FrenchSkyBlue</v>
      </c>
      <c r="H449" t="str">
        <f t="shared" si="55"/>
        <v>77B5FE</v>
      </c>
      <c r="I449" t="str">
        <f t="shared" si="56"/>
        <v>77</v>
      </c>
      <c r="J449" t="str">
        <f t="shared" si="57"/>
        <v>B5</v>
      </c>
      <c r="K449" t="str">
        <f t="shared" si="58"/>
        <v>FE</v>
      </c>
      <c r="L449">
        <f t="shared" si="59"/>
        <v>119</v>
      </c>
      <c r="M449">
        <f t="shared" si="60"/>
        <v>181</v>
      </c>
      <c r="N449">
        <f t="shared" si="61"/>
        <v>254</v>
      </c>
      <c r="P449" t="str">
        <f t="shared" si="62"/>
        <v>.FrenchSkyBlue-bg{background-color:#77B5FE;}</v>
      </c>
    </row>
    <row r="450" spans="2:16" ht="15.75">
      <c r="B450" s="1" t="s">
        <v>1068</v>
      </c>
      <c r="C450" t="s">
        <v>1069</v>
      </c>
      <c r="D450">
        <v>135.15</v>
      </c>
      <c r="E450">
        <v>5.0999999999999996</v>
      </c>
      <c r="F450">
        <v>135.15</v>
      </c>
      <c r="G450" t="str">
        <f t="shared" si="54"/>
        <v>FrenchViolet</v>
      </c>
      <c r="H450" t="str">
        <f t="shared" si="55"/>
        <v>8806CE</v>
      </c>
      <c r="I450" t="str">
        <f t="shared" si="56"/>
        <v>88</v>
      </c>
      <c r="J450" t="str">
        <f t="shared" si="57"/>
        <v>06</v>
      </c>
      <c r="K450" t="str">
        <f t="shared" si="58"/>
        <v>CE</v>
      </c>
      <c r="L450">
        <f t="shared" si="59"/>
        <v>136</v>
      </c>
      <c r="M450">
        <f t="shared" si="60"/>
        <v>6</v>
      </c>
      <c r="N450">
        <f t="shared" si="61"/>
        <v>206</v>
      </c>
      <c r="P450" t="str">
        <f t="shared" si="62"/>
        <v>.FrenchViolet-bg{background-color:#8806CE;}</v>
      </c>
    </row>
    <row r="451" spans="2:16" ht="15.75">
      <c r="B451" s="1" t="s">
        <v>1070</v>
      </c>
      <c r="C451" t="s">
        <v>1071</v>
      </c>
      <c r="D451">
        <v>170.85</v>
      </c>
      <c r="E451">
        <v>30.6</v>
      </c>
      <c r="F451">
        <v>170.85</v>
      </c>
      <c r="G451" t="str">
        <f t="shared" si="54"/>
        <v>FrenchWine</v>
      </c>
      <c r="H451" t="str">
        <f t="shared" si="55"/>
        <v>AC1E44</v>
      </c>
      <c r="I451" t="str">
        <f t="shared" si="56"/>
        <v>AC</v>
      </c>
      <c r="J451" t="str">
        <f t="shared" si="57"/>
        <v>1E</v>
      </c>
      <c r="K451" t="str">
        <f t="shared" si="58"/>
        <v>44</v>
      </c>
      <c r="L451">
        <f t="shared" si="59"/>
        <v>172</v>
      </c>
      <c r="M451">
        <f t="shared" si="60"/>
        <v>30</v>
      </c>
      <c r="N451">
        <f t="shared" si="61"/>
        <v>68</v>
      </c>
      <c r="P451" t="str">
        <f t="shared" si="62"/>
        <v>.FrenchWine-bg{background-color:#AC1E44;}</v>
      </c>
    </row>
    <row r="452" spans="2:16" ht="15.75">
      <c r="B452" s="1" t="s">
        <v>1072</v>
      </c>
      <c r="C452" t="s">
        <v>1073</v>
      </c>
      <c r="D452">
        <v>165.75</v>
      </c>
      <c r="E452">
        <v>232.05</v>
      </c>
      <c r="F452">
        <v>165.75</v>
      </c>
      <c r="G452" t="str">
        <f t="shared" ref="G452:G515" si="63">SUBSTITUTE(PROPER(AlphaNumericOnly(B452))," ","")</f>
        <v>FreshAir</v>
      </c>
      <c r="H452" t="str">
        <f t="shared" ref="H452:H515" si="64">RIGHT(C452,6)</f>
        <v>A6E7FF</v>
      </c>
      <c r="I452" t="str">
        <f t="shared" ref="I452:I515" si="65">MID($H452,1,2)</f>
        <v>A6</v>
      </c>
      <c r="J452" t="str">
        <f t="shared" ref="J452:J515" si="66">MID($H452,3,2)</f>
        <v>E7</v>
      </c>
      <c r="K452" t="str">
        <f t="shared" ref="K452:K515" si="67">MID($H452,5,2)</f>
        <v>FF</v>
      </c>
      <c r="L452">
        <f t="shared" ref="L452:L515" si="68">HEX2DEC(I452)</f>
        <v>166</v>
      </c>
      <c r="M452">
        <f t="shared" ref="M452:M515" si="69">HEX2DEC(J452)</f>
        <v>231</v>
      </c>
      <c r="N452">
        <f t="shared" ref="N452:N515" si="70">HEX2DEC(K452)</f>
        <v>255</v>
      </c>
      <c r="P452" t="str">
        <f t="shared" ref="P452:P515" si="71">"."&amp;G452&amp;$P$1&amp;"{"&amp;$P$2&amp;":#"&amp;H452&amp;";}"</f>
        <v>.FreshAir-bg{background-color:#A6E7FF;}</v>
      </c>
    </row>
    <row r="453" spans="2:16" ht="15.75">
      <c r="B453" s="1" t="s">
        <v>1074</v>
      </c>
      <c r="C453" t="s">
        <v>1075</v>
      </c>
      <c r="D453">
        <v>232.05</v>
      </c>
      <c r="E453">
        <v>53.55</v>
      </c>
      <c r="F453">
        <v>232.05</v>
      </c>
      <c r="G453" t="str">
        <f t="shared" si="63"/>
        <v>Frostbite</v>
      </c>
      <c r="H453" t="str">
        <f t="shared" si="64"/>
        <v>E936A7</v>
      </c>
      <c r="I453" t="str">
        <f t="shared" si="65"/>
        <v>E9</v>
      </c>
      <c r="J453" t="str">
        <f t="shared" si="66"/>
        <v>36</v>
      </c>
      <c r="K453" t="str">
        <f t="shared" si="67"/>
        <v>A7</v>
      </c>
      <c r="L453">
        <f t="shared" si="68"/>
        <v>233</v>
      </c>
      <c r="M453">
        <f t="shared" si="69"/>
        <v>54</v>
      </c>
      <c r="N453">
        <f t="shared" si="70"/>
        <v>167</v>
      </c>
      <c r="P453" t="str">
        <f t="shared" si="71"/>
        <v>.Frostbite-bg{background-color:#E936A7;}</v>
      </c>
    </row>
    <row r="454" spans="2:16" ht="15.75">
      <c r="B454" s="1" t="s">
        <v>1076</v>
      </c>
      <c r="C454" t="s">
        <v>1077</v>
      </c>
      <c r="D454">
        <v>255</v>
      </c>
      <c r="E454">
        <v>0</v>
      </c>
      <c r="F454">
        <v>255</v>
      </c>
      <c r="G454" t="str">
        <f t="shared" si="63"/>
        <v>Fuchsia</v>
      </c>
      <c r="H454" t="str">
        <f t="shared" si="64"/>
        <v>FF00FF</v>
      </c>
      <c r="I454" t="str">
        <f t="shared" si="65"/>
        <v>FF</v>
      </c>
      <c r="J454" t="str">
        <f t="shared" si="66"/>
        <v>00</v>
      </c>
      <c r="K454" t="str">
        <f t="shared" si="67"/>
        <v>FF</v>
      </c>
      <c r="L454">
        <f t="shared" si="68"/>
        <v>255</v>
      </c>
      <c r="M454">
        <f t="shared" si="69"/>
        <v>0</v>
      </c>
      <c r="N454">
        <f t="shared" si="70"/>
        <v>255</v>
      </c>
      <c r="P454" t="str">
        <f t="shared" si="71"/>
        <v>.Fuchsia-bg{background-color:#FF00FF;}</v>
      </c>
    </row>
    <row r="455" spans="2:16" ht="15.75">
      <c r="B455" s="1" t="s">
        <v>1078</v>
      </c>
      <c r="C455" t="s">
        <v>865</v>
      </c>
      <c r="D455">
        <v>193.8</v>
      </c>
      <c r="E455">
        <v>84.15</v>
      </c>
      <c r="F455">
        <v>193.8</v>
      </c>
      <c r="G455" t="str">
        <f t="shared" si="63"/>
        <v>FuchsiaCrayola</v>
      </c>
      <c r="H455" t="str">
        <f t="shared" si="64"/>
        <v>C154C1</v>
      </c>
      <c r="I455" t="str">
        <f t="shared" si="65"/>
        <v>C1</v>
      </c>
      <c r="J455" t="str">
        <f t="shared" si="66"/>
        <v>54</v>
      </c>
      <c r="K455" t="str">
        <f t="shared" si="67"/>
        <v>C1</v>
      </c>
      <c r="L455">
        <f t="shared" si="68"/>
        <v>193</v>
      </c>
      <c r="M455">
        <f t="shared" si="69"/>
        <v>84</v>
      </c>
      <c r="N455">
        <f t="shared" si="70"/>
        <v>193</v>
      </c>
      <c r="P455" t="str">
        <f t="shared" si="71"/>
        <v>.FuchsiaCrayola-bg{background-color:#C154C1;}</v>
      </c>
    </row>
    <row r="456" spans="2:16" ht="15.75">
      <c r="B456" s="1" t="s">
        <v>1079</v>
      </c>
      <c r="C456" t="s">
        <v>1080</v>
      </c>
      <c r="D456">
        <v>255</v>
      </c>
      <c r="E456">
        <v>119.85</v>
      </c>
      <c r="F456">
        <v>255</v>
      </c>
      <c r="G456" t="str">
        <f t="shared" si="63"/>
        <v>FuchsiaPink</v>
      </c>
      <c r="H456" t="str">
        <f t="shared" si="64"/>
        <v>FF77FF</v>
      </c>
      <c r="I456" t="str">
        <f t="shared" si="65"/>
        <v>FF</v>
      </c>
      <c r="J456" t="str">
        <f t="shared" si="66"/>
        <v>77</v>
      </c>
      <c r="K456" t="str">
        <f t="shared" si="67"/>
        <v>FF</v>
      </c>
      <c r="L456">
        <f t="shared" si="68"/>
        <v>255</v>
      </c>
      <c r="M456">
        <f t="shared" si="69"/>
        <v>119</v>
      </c>
      <c r="N456">
        <f t="shared" si="70"/>
        <v>255</v>
      </c>
      <c r="P456" t="str">
        <f t="shared" si="71"/>
        <v>.FuchsiaPink-bg{background-color:#FF77FF;}</v>
      </c>
    </row>
    <row r="457" spans="2:16" ht="15.75">
      <c r="B457" s="1" t="s">
        <v>1081</v>
      </c>
      <c r="C457" t="s">
        <v>1082</v>
      </c>
      <c r="D457">
        <v>204</v>
      </c>
      <c r="E457">
        <v>56.1</v>
      </c>
      <c r="F457">
        <v>204</v>
      </c>
      <c r="G457" t="str">
        <f t="shared" si="63"/>
        <v>FuchsiaPurple</v>
      </c>
      <c r="H457" t="str">
        <f t="shared" si="64"/>
        <v>CC397B</v>
      </c>
      <c r="I457" t="str">
        <f t="shared" si="65"/>
        <v>CC</v>
      </c>
      <c r="J457" t="str">
        <f t="shared" si="66"/>
        <v>39</v>
      </c>
      <c r="K457" t="str">
        <f t="shared" si="67"/>
        <v>7B</v>
      </c>
      <c r="L457">
        <f t="shared" si="68"/>
        <v>204</v>
      </c>
      <c r="M457">
        <f t="shared" si="69"/>
        <v>57</v>
      </c>
      <c r="N457">
        <f t="shared" si="70"/>
        <v>123</v>
      </c>
      <c r="P457" t="str">
        <f t="shared" si="71"/>
        <v>.FuchsiaPurple-bg{background-color:#CC397B;}</v>
      </c>
    </row>
    <row r="458" spans="2:16" ht="15.75">
      <c r="B458" s="1" t="s">
        <v>1083</v>
      </c>
      <c r="C458" t="s">
        <v>1084</v>
      </c>
      <c r="D458">
        <v>198.9</v>
      </c>
      <c r="E458">
        <v>66.3</v>
      </c>
      <c r="F458">
        <v>198.9</v>
      </c>
      <c r="G458" t="str">
        <f t="shared" si="63"/>
        <v>FuchsiaRose</v>
      </c>
      <c r="H458" t="str">
        <f t="shared" si="64"/>
        <v>C74375</v>
      </c>
      <c r="I458" t="str">
        <f t="shared" si="65"/>
        <v>C7</v>
      </c>
      <c r="J458" t="str">
        <f t="shared" si="66"/>
        <v>43</v>
      </c>
      <c r="K458" t="str">
        <f t="shared" si="67"/>
        <v>75</v>
      </c>
      <c r="L458">
        <f t="shared" si="68"/>
        <v>199</v>
      </c>
      <c r="M458">
        <f t="shared" si="69"/>
        <v>67</v>
      </c>
      <c r="N458">
        <f t="shared" si="70"/>
        <v>117</v>
      </c>
      <c r="P458" t="str">
        <f t="shared" si="71"/>
        <v>.FuchsiaRose-bg{background-color:#C74375;}</v>
      </c>
    </row>
    <row r="459" spans="2:16" ht="15.75">
      <c r="B459" s="1" t="s">
        <v>1085</v>
      </c>
      <c r="C459" t="s">
        <v>1086</v>
      </c>
      <c r="D459">
        <v>226.95</v>
      </c>
      <c r="E459">
        <v>132.6</v>
      </c>
      <c r="F459">
        <v>226.95</v>
      </c>
      <c r="G459" t="str">
        <f t="shared" si="63"/>
        <v>Fulvous</v>
      </c>
      <c r="H459" t="str">
        <f t="shared" si="64"/>
        <v>E48400</v>
      </c>
      <c r="I459" t="str">
        <f t="shared" si="65"/>
        <v>E4</v>
      </c>
      <c r="J459" t="str">
        <f t="shared" si="66"/>
        <v>84</v>
      </c>
      <c r="K459" t="str">
        <f t="shared" si="67"/>
        <v>00</v>
      </c>
      <c r="L459">
        <f t="shared" si="68"/>
        <v>228</v>
      </c>
      <c r="M459">
        <f t="shared" si="69"/>
        <v>132</v>
      </c>
      <c r="N459">
        <f t="shared" si="70"/>
        <v>0</v>
      </c>
      <c r="P459" t="str">
        <f t="shared" si="71"/>
        <v>.Fulvous-bg{background-color:#E48400;}</v>
      </c>
    </row>
    <row r="460" spans="2:16" ht="15.75">
      <c r="B460" s="1" t="s">
        <v>1087</v>
      </c>
      <c r="C460" t="s">
        <v>1088</v>
      </c>
      <c r="D460">
        <v>204</v>
      </c>
      <c r="E460">
        <v>102</v>
      </c>
      <c r="F460">
        <v>204</v>
      </c>
      <c r="G460" t="str">
        <f t="shared" si="63"/>
        <v>FuzzyWuzzy</v>
      </c>
      <c r="H460" t="str">
        <f t="shared" si="64"/>
        <v>CC6666</v>
      </c>
      <c r="I460" t="str">
        <f t="shared" si="65"/>
        <v>CC</v>
      </c>
      <c r="J460" t="str">
        <f t="shared" si="66"/>
        <v>66</v>
      </c>
      <c r="K460" t="str">
        <f t="shared" si="67"/>
        <v>66</v>
      </c>
      <c r="L460">
        <f t="shared" si="68"/>
        <v>204</v>
      </c>
      <c r="M460">
        <f t="shared" si="69"/>
        <v>102</v>
      </c>
      <c r="N460">
        <f t="shared" si="70"/>
        <v>102</v>
      </c>
      <c r="P460" t="str">
        <f t="shared" si="71"/>
        <v>.FuzzyWuzzy-bg{background-color:#CC6666;}</v>
      </c>
    </row>
    <row r="461" spans="2:16" ht="15.75">
      <c r="B461" s="1" t="s">
        <v>1089</v>
      </c>
      <c r="C461" t="s">
        <v>1090</v>
      </c>
      <c r="D461">
        <v>21930</v>
      </c>
      <c r="E461">
        <v>21930</v>
      </c>
      <c r="F461">
        <v>21930</v>
      </c>
      <c r="G461" t="str">
        <f t="shared" si="63"/>
        <v>Gainsboro</v>
      </c>
      <c r="H461" t="str">
        <f t="shared" si="64"/>
        <v>DCDCDC</v>
      </c>
      <c r="I461" t="str">
        <f t="shared" si="65"/>
        <v>DC</v>
      </c>
      <c r="J461" t="str">
        <f t="shared" si="66"/>
        <v>DC</v>
      </c>
      <c r="K461" t="str">
        <f t="shared" si="67"/>
        <v>DC</v>
      </c>
      <c r="L461">
        <f t="shared" si="68"/>
        <v>220</v>
      </c>
      <c r="M461">
        <f t="shared" si="69"/>
        <v>220</v>
      </c>
      <c r="N461">
        <f t="shared" si="70"/>
        <v>220</v>
      </c>
      <c r="P461" t="str">
        <f t="shared" si="71"/>
        <v>.Gainsboro-bg{background-color:#DCDCDC;}</v>
      </c>
    </row>
    <row r="462" spans="2:16" ht="15.75">
      <c r="B462" s="1" t="s">
        <v>1091</v>
      </c>
      <c r="C462" t="s">
        <v>1092</v>
      </c>
      <c r="D462">
        <v>22695</v>
      </c>
      <c r="E462">
        <v>15555</v>
      </c>
      <c r="F462">
        <v>22695</v>
      </c>
      <c r="G462" t="str">
        <f t="shared" si="63"/>
        <v>Gamboge</v>
      </c>
      <c r="H462" t="str">
        <f t="shared" si="64"/>
        <v>E49B0F</v>
      </c>
      <c r="I462" t="str">
        <f t="shared" si="65"/>
        <v>E4</v>
      </c>
      <c r="J462" t="str">
        <f t="shared" si="66"/>
        <v>9B</v>
      </c>
      <c r="K462" t="str">
        <f t="shared" si="67"/>
        <v>0F</v>
      </c>
      <c r="L462">
        <f t="shared" si="68"/>
        <v>228</v>
      </c>
      <c r="M462">
        <f t="shared" si="69"/>
        <v>155</v>
      </c>
      <c r="N462">
        <f t="shared" si="70"/>
        <v>15</v>
      </c>
      <c r="P462" t="str">
        <f t="shared" si="71"/>
        <v>.Gamboge-bg{background-color:#E49B0F;}</v>
      </c>
    </row>
    <row r="463" spans="2:16" ht="15.75">
      <c r="B463" s="1" t="s">
        <v>1093</v>
      </c>
      <c r="C463" t="s">
        <v>1094</v>
      </c>
      <c r="D463">
        <v>15300</v>
      </c>
      <c r="E463">
        <v>10200</v>
      </c>
      <c r="F463">
        <v>15300</v>
      </c>
      <c r="G463" t="str">
        <f t="shared" si="63"/>
        <v>GambogeOrangeBrown</v>
      </c>
      <c r="H463" t="str">
        <f t="shared" si="64"/>
        <v>996600</v>
      </c>
      <c r="I463" t="str">
        <f t="shared" si="65"/>
        <v>99</v>
      </c>
      <c r="J463" t="str">
        <f t="shared" si="66"/>
        <v>66</v>
      </c>
      <c r="K463" t="str">
        <f t="shared" si="67"/>
        <v>00</v>
      </c>
      <c r="L463">
        <f t="shared" si="68"/>
        <v>153</v>
      </c>
      <c r="M463">
        <f t="shared" si="69"/>
        <v>102</v>
      </c>
      <c r="N463">
        <f t="shared" si="70"/>
        <v>0</v>
      </c>
      <c r="P463" t="str">
        <f t="shared" si="71"/>
        <v>.GambogeOrangeBrown-bg{background-color:#996600;}</v>
      </c>
    </row>
    <row r="464" spans="2:16" ht="15.75">
      <c r="B464" s="1" t="s">
        <v>1095</v>
      </c>
      <c r="C464" t="s">
        <v>1096</v>
      </c>
      <c r="D464">
        <v>25500</v>
      </c>
      <c r="E464">
        <v>22185</v>
      </c>
      <c r="F464">
        <v>25500</v>
      </c>
      <c r="G464" t="str">
        <f t="shared" si="63"/>
        <v>GargoyleGas</v>
      </c>
      <c r="H464" t="str">
        <f t="shared" si="64"/>
        <v>FFDF46</v>
      </c>
      <c r="I464" t="str">
        <f t="shared" si="65"/>
        <v>FF</v>
      </c>
      <c r="J464" t="str">
        <f t="shared" si="66"/>
        <v>DF</v>
      </c>
      <c r="K464" t="str">
        <f t="shared" si="67"/>
        <v>46</v>
      </c>
      <c r="L464">
        <f t="shared" si="68"/>
        <v>255</v>
      </c>
      <c r="M464">
        <f t="shared" si="69"/>
        <v>223</v>
      </c>
      <c r="N464">
        <f t="shared" si="70"/>
        <v>70</v>
      </c>
      <c r="P464" t="str">
        <f t="shared" si="71"/>
        <v>.GargoyleGas-bg{background-color:#FFDF46;}</v>
      </c>
    </row>
    <row r="465" spans="2:16" ht="15.75">
      <c r="B465" s="1" t="s">
        <v>1097</v>
      </c>
      <c r="C465" t="s">
        <v>1098</v>
      </c>
      <c r="D465">
        <v>0</v>
      </c>
      <c r="E465">
        <v>12750</v>
      </c>
      <c r="F465">
        <v>0</v>
      </c>
      <c r="G465" t="str">
        <f t="shared" si="63"/>
        <v>GenericViridian</v>
      </c>
      <c r="H465" t="str">
        <f t="shared" si="64"/>
        <v>007F66</v>
      </c>
      <c r="I465" t="str">
        <f t="shared" si="65"/>
        <v>00</v>
      </c>
      <c r="J465" t="str">
        <f t="shared" si="66"/>
        <v>7F</v>
      </c>
      <c r="K465" t="str">
        <f t="shared" si="67"/>
        <v>66</v>
      </c>
      <c r="L465">
        <f t="shared" si="68"/>
        <v>0</v>
      </c>
      <c r="M465">
        <f t="shared" si="69"/>
        <v>127</v>
      </c>
      <c r="N465">
        <f t="shared" si="70"/>
        <v>102</v>
      </c>
      <c r="P465" t="str">
        <f t="shared" si="71"/>
        <v>.GenericViridian-bg{background-color:#007F66;}</v>
      </c>
    </row>
    <row r="466" spans="2:16" ht="15.75">
      <c r="B466" s="1" t="s">
        <v>1099</v>
      </c>
      <c r="C466" t="s">
        <v>1100</v>
      </c>
      <c r="D466">
        <v>24735</v>
      </c>
      <c r="E466">
        <v>24735</v>
      </c>
      <c r="F466">
        <v>24735</v>
      </c>
      <c r="G466" t="str">
        <f t="shared" si="63"/>
        <v>GhostWhite</v>
      </c>
      <c r="H466" t="str">
        <f t="shared" si="64"/>
        <v>F8F8FF</v>
      </c>
      <c r="I466" t="str">
        <f t="shared" si="65"/>
        <v>F8</v>
      </c>
      <c r="J466" t="str">
        <f t="shared" si="66"/>
        <v>F8</v>
      </c>
      <c r="K466" t="str">
        <f t="shared" si="67"/>
        <v>FF</v>
      </c>
      <c r="L466">
        <f t="shared" si="68"/>
        <v>248</v>
      </c>
      <c r="M466">
        <f t="shared" si="69"/>
        <v>248</v>
      </c>
      <c r="N466">
        <f t="shared" si="70"/>
        <v>255</v>
      </c>
      <c r="P466" t="str">
        <f t="shared" si="71"/>
        <v>.GhostWhite-bg{background-color:#F8F8FF;}</v>
      </c>
    </row>
    <row r="467" spans="2:16" ht="15.75">
      <c r="B467" s="1" t="s">
        <v>1101</v>
      </c>
      <c r="C467" t="s">
        <v>1102</v>
      </c>
      <c r="D467">
        <v>17595</v>
      </c>
      <c r="E467">
        <v>9180</v>
      </c>
      <c r="F467">
        <v>17595</v>
      </c>
      <c r="G467" t="str">
        <f t="shared" si="63"/>
        <v>GiantsClub</v>
      </c>
      <c r="H467" t="str">
        <f t="shared" si="64"/>
        <v>B05C52</v>
      </c>
      <c r="I467" t="str">
        <f t="shared" si="65"/>
        <v>B0</v>
      </c>
      <c r="J467" t="str">
        <f t="shared" si="66"/>
        <v>5C</v>
      </c>
      <c r="K467" t="str">
        <f t="shared" si="67"/>
        <v>52</v>
      </c>
      <c r="L467">
        <f t="shared" si="68"/>
        <v>176</v>
      </c>
      <c r="M467">
        <f t="shared" si="69"/>
        <v>92</v>
      </c>
      <c r="N467">
        <f t="shared" si="70"/>
        <v>82</v>
      </c>
      <c r="P467" t="str">
        <f t="shared" si="71"/>
        <v>.GiantsClub-bg{background-color:#B05C52;}</v>
      </c>
    </row>
    <row r="468" spans="2:16" ht="15.75">
      <c r="B468" s="1" t="s">
        <v>1103</v>
      </c>
      <c r="C468" t="s">
        <v>1104</v>
      </c>
      <c r="D468">
        <v>25500</v>
      </c>
      <c r="E468">
        <v>8925</v>
      </c>
      <c r="F468">
        <v>25500</v>
      </c>
      <c r="G468" t="str">
        <f t="shared" si="63"/>
        <v>GiantsOrange</v>
      </c>
      <c r="H468" t="str">
        <f t="shared" si="64"/>
        <v>FE5A1D</v>
      </c>
      <c r="I468" t="str">
        <f t="shared" si="65"/>
        <v>FE</v>
      </c>
      <c r="J468" t="str">
        <f t="shared" si="66"/>
        <v>5A</v>
      </c>
      <c r="K468" t="str">
        <f t="shared" si="67"/>
        <v>1D</v>
      </c>
      <c r="L468">
        <f t="shared" si="68"/>
        <v>254</v>
      </c>
      <c r="M468">
        <f t="shared" si="69"/>
        <v>90</v>
      </c>
      <c r="N468">
        <f t="shared" si="70"/>
        <v>29</v>
      </c>
      <c r="P468" t="str">
        <f t="shared" si="71"/>
        <v>.GiantsOrange-bg{background-color:#FE5A1D;}</v>
      </c>
    </row>
    <row r="469" spans="2:16" ht="15.75">
      <c r="B469" s="1" t="s">
        <v>1105</v>
      </c>
      <c r="C469" t="s">
        <v>1106</v>
      </c>
      <c r="D469">
        <v>17595</v>
      </c>
      <c r="E469">
        <v>10200</v>
      </c>
      <c r="F469">
        <v>17595</v>
      </c>
      <c r="G469" t="str">
        <f t="shared" si="63"/>
        <v>Ginger</v>
      </c>
      <c r="H469" t="str">
        <f t="shared" si="64"/>
        <v>B06500</v>
      </c>
      <c r="I469" t="str">
        <f t="shared" si="65"/>
        <v>B0</v>
      </c>
      <c r="J469" t="str">
        <f t="shared" si="66"/>
        <v>65</v>
      </c>
      <c r="K469" t="str">
        <f t="shared" si="67"/>
        <v>00</v>
      </c>
      <c r="L469">
        <f t="shared" si="68"/>
        <v>176</v>
      </c>
      <c r="M469">
        <f t="shared" si="69"/>
        <v>101</v>
      </c>
      <c r="N469">
        <f t="shared" si="70"/>
        <v>0</v>
      </c>
      <c r="P469" t="str">
        <f t="shared" si="71"/>
        <v>.Ginger-bg{background-color:#B06500;}</v>
      </c>
    </row>
    <row r="470" spans="2:16" ht="15.75">
      <c r="B470" s="1" t="s">
        <v>1107</v>
      </c>
      <c r="C470" t="s">
        <v>1108</v>
      </c>
      <c r="D470">
        <v>9690</v>
      </c>
      <c r="E470">
        <v>13005</v>
      </c>
      <c r="F470">
        <v>9690</v>
      </c>
      <c r="G470" t="str">
        <f t="shared" si="63"/>
        <v>Glaucous</v>
      </c>
      <c r="H470" t="str">
        <f t="shared" si="64"/>
        <v>6082B6</v>
      </c>
      <c r="I470" t="str">
        <f t="shared" si="65"/>
        <v>60</v>
      </c>
      <c r="J470" t="str">
        <f t="shared" si="66"/>
        <v>82</v>
      </c>
      <c r="K470" t="str">
        <f t="shared" si="67"/>
        <v>B6</v>
      </c>
      <c r="L470">
        <f t="shared" si="68"/>
        <v>96</v>
      </c>
      <c r="M470">
        <f t="shared" si="69"/>
        <v>130</v>
      </c>
      <c r="N470">
        <f t="shared" si="70"/>
        <v>182</v>
      </c>
      <c r="P470" t="str">
        <f t="shared" si="71"/>
        <v>.Glaucous-bg{background-color:#6082B6;}</v>
      </c>
    </row>
    <row r="471" spans="2:16" ht="15.75">
      <c r="B471" s="1" t="s">
        <v>1109</v>
      </c>
      <c r="C471" t="s">
        <v>1110</v>
      </c>
      <c r="D471">
        <v>22950</v>
      </c>
      <c r="E471">
        <v>23205</v>
      </c>
      <c r="F471">
        <v>22950</v>
      </c>
      <c r="G471" t="str">
        <f t="shared" si="63"/>
        <v>Glitter</v>
      </c>
      <c r="H471" t="str">
        <f t="shared" si="64"/>
        <v>E6E8FA</v>
      </c>
      <c r="I471" t="str">
        <f t="shared" si="65"/>
        <v>E6</v>
      </c>
      <c r="J471" t="str">
        <f t="shared" si="66"/>
        <v>E8</v>
      </c>
      <c r="K471" t="str">
        <f t="shared" si="67"/>
        <v>FA</v>
      </c>
      <c r="L471">
        <f t="shared" si="68"/>
        <v>230</v>
      </c>
      <c r="M471">
        <f t="shared" si="69"/>
        <v>232</v>
      </c>
      <c r="N471">
        <f t="shared" si="70"/>
        <v>250</v>
      </c>
      <c r="P471" t="str">
        <f t="shared" si="71"/>
        <v>.Glitter-bg{background-color:#E6E8FA;}</v>
      </c>
    </row>
    <row r="472" spans="2:16" ht="15.75">
      <c r="B472" s="1" t="s">
        <v>1111</v>
      </c>
      <c r="C472" t="s">
        <v>1112</v>
      </c>
      <c r="D472">
        <v>17085</v>
      </c>
      <c r="E472">
        <v>14535</v>
      </c>
      <c r="F472">
        <v>17085</v>
      </c>
      <c r="G472" t="str">
        <f t="shared" si="63"/>
        <v>GlossyGrape</v>
      </c>
      <c r="H472" t="str">
        <f t="shared" si="64"/>
        <v>AB92B3</v>
      </c>
      <c r="I472" t="str">
        <f t="shared" si="65"/>
        <v>AB</v>
      </c>
      <c r="J472" t="str">
        <f t="shared" si="66"/>
        <v>92</v>
      </c>
      <c r="K472" t="str">
        <f t="shared" si="67"/>
        <v>B3</v>
      </c>
      <c r="L472">
        <f t="shared" si="68"/>
        <v>171</v>
      </c>
      <c r="M472">
        <f t="shared" si="69"/>
        <v>146</v>
      </c>
      <c r="N472">
        <f t="shared" si="70"/>
        <v>179</v>
      </c>
      <c r="P472" t="str">
        <f t="shared" si="71"/>
        <v>.GlossyGrape-bg{background-color:#AB92B3;}</v>
      </c>
    </row>
    <row r="473" spans="2:16" ht="15.75">
      <c r="B473" s="1" t="s">
        <v>1113</v>
      </c>
      <c r="C473" t="s">
        <v>1114</v>
      </c>
      <c r="D473">
        <v>0</v>
      </c>
      <c r="E473">
        <v>17085</v>
      </c>
      <c r="F473">
        <v>0</v>
      </c>
      <c r="G473" t="str">
        <f t="shared" si="63"/>
        <v>GoGreen</v>
      </c>
      <c r="H473" t="str">
        <f t="shared" si="64"/>
        <v>00AB66</v>
      </c>
      <c r="I473" t="str">
        <f t="shared" si="65"/>
        <v>00</v>
      </c>
      <c r="J473" t="str">
        <f t="shared" si="66"/>
        <v>AB</v>
      </c>
      <c r="K473" t="str">
        <f t="shared" si="67"/>
        <v>66</v>
      </c>
      <c r="L473">
        <f t="shared" si="68"/>
        <v>0</v>
      </c>
      <c r="M473">
        <f t="shared" si="69"/>
        <v>171</v>
      </c>
      <c r="N473">
        <f t="shared" si="70"/>
        <v>102</v>
      </c>
      <c r="P473" t="str">
        <f t="shared" si="71"/>
        <v>.GoGreen-bg{background-color:#00AB66;}</v>
      </c>
    </row>
    <row r="474" spans="2:16" ht="15.75">
      <c r="B474" s="1" t="s">
        <v>1115</v>
      </c>
      <c r="C474" t="s">
        <v>1116</v>
      </c>
      <c r="D474">
        <v>21165</v>
      </c>
      <c r="E474">
        <v>17595</v>
      </c>
      <c r="F474">
        <v>21165</v>
      </c>
      <c r="G474" t="str">
        <f t="shared" si="63"/>
        <v>GoldMetallic</v>
      </c>
      <c r="H474" t="str">
        <f t="shared" si="64"/>
        <v>D4AF37</v>
      </c>
      <c r="I474" t="str">
        <f t="shared" si="65"/>
        <v>D4</v>
      </c>
      <c r="J474" t="str">
        <f t="shared" si="66"/>
        <v>AF</v>
      </c>
      <c r="K474" t="str">
        <f t="shared" si="67"/>
        <v>37</v>
      </c>
      <c r="L474">
        <f t="shared" si="68"/>
        <v>212</v>
      </c>
      <c r="M474">
        <f t="shared" si="69"/>
        <v>175</v>
      </c>
      <c r="N474">
        <f t="shared" si="70"/>
        <v>55</v>
      </c>
      <c r="P474" t="str">
        <f t="shared" si="71"/>
        <v>.GoldMetallic-bg{background-color:#D4AF37;}</v>
      </c>
    </row>
    <row r="475" spans="2:16" ht="15.75">
      <c r="B475" s="1" t="s">
        <v>1117</v>
      </c>
      <c r="C475" t="s">
        <v>1118</v>
      </c>
      <c r="D475">
        <v>25500</v>
      </c>
      <c r="E475">
        <v>21420</v>
      </c>
      <c r="F475">
        <v>25500</v>
      </c>
      <c r="G475" t="str">
        <f t="shared" si="63"/>
        <v>GoldWebGolden</v>
      </c>
      <c r="H475" t="str">
        <f t="shared" si="64"/>
        <v>FFD700</v>
      </c>
      <c r="I475" t="str">
        <f t="shared" si="65"/>
        <v>FF</v>
      </c>
      <c r="J475" t="str">
        <f t="shared" si="66"/>
        <v>D7</v>
      </c>
      <c r="K475" t="str">
        <f t="shared" si="67"/>
        <v>00</v>
      </c>
      <c r="L475">
        <f t="shared" si="68"/>
        <v>255</v>
      </c>
      <c r="M475">
        <f t="shared" si="69"/>
        <v>215</v>
      </c>
      <c r="N475">
        <f t="shared" si="70"/>
        <v>0</v>
      </c>
      <c r="P475" t="str">
        <f t="shared" si="71"/>
        <v>.GoldWebGolden-bg{background-color:#FFD700;}</v>
      </c>
    </row>
    <row r="476" spans="2:16" ht="15.75">
      <c r="B476" s="1" t="s">
        <v>1119</v>
      </c>
      <c r="C476" t="s">
        <v>1120</v>
      </c>
      <c r="D476">
        <v>13260</v>
      </c>
      <c r="E476">
        <v>11730</v>
      </c>
      <c r="F476">
        <v>13260</v>
      </c>
      <c r="G476" t="str">
        <f t="shared" si="63"/>
        <v>GoldFusion</v>
      </c>
      <c r="H476" t="str">
        <f t="shared" si="64"/>
        <v>85754E</v>
      </c>
      <c r="I476" t="str">
        <f t="shared" si="65"/>
        <v>85</v>
      </c>
      <c r="J476" t="str">
        <f t="shared" si="66"/>
        <v>75</v>
      </c>
      <c r="K476" t="str">
        <f t="shared" si="67"/>
        <v>4E</v>
      </c>
      <c r="L476">
        <f t="shared" si="68"/>
        <v>133</v>
      </c>
      <c r="M476">
        <f t="shared" si="69"/>
        <v>117</v>
      </c>
      <c r="N476">
        <f t="shared" si="70"/>
        <v>78</v>
      </c>
      <c r="P476" t="str">
        <f t="shared" si="71"/>
        <v>.GoldFusion-bg{background-color:#85754E;}</v>
      </c>
    </row>
    <row r="477" spans="2:16" ht="15.75">
      <c r="B477" s="1" t="s">
        <v>1121</v>
      </c>
      <c r="C477" t="s">
        <v>1122</v>
      </c>
      <c r="D477">
        <v>15300</v>
      </c>
      <c r="E477">
        <v>10200</v>
      </c>
      <c r="F477">
        <v>15300</v>
      </c>
      <c r="G477" t="str">
        <f t="shared" si="63"/>
        <v>GoldenBrown</v>
      </c>
      <c r="H477" t="str">
        <f t="shared" si="64"/>
        <v>996515</v>
      </c>
      <c r="I477" t="str">
        <f t="shared" si="65"/>
        <v>99</v>
      </c>
      <c r="J477" t="str">
        <f t="shared" si="66"/>
        <v>65</v>
      </c>
      <c r="K477" t="str">
        <f t="shared" si="67"/>
        <v>15</v>
      </c>
      <c r="L477">
        <f t="shared" si="68"/>
        <v>153</v>
      </c>
      <c r="M477">
        <f t="shared" si="69"/>
        <v>101</v>
      </c>
      <c r="N477">
        <f t="shared" si="70"/>
        <v>21</v>
      </c>
      <c r="P477" t="str">
        <f t="shared" si="71"/>
        <v>.GoldenBrown-bg{background-color:#996515;}</v>
      </c>
    </row>
    <row r="478" spans="2:16" ht="15.75">
      <c r="B478" s="1" t="s">
        <v>1123</v>
      </c>
      <c r="C478" t="s">
        <v>1124</v>
      </c>
      <c r="D478">
        <v>25245</v>
      </c>
      <c r="E478">
        <v>19380</v>
      </c>
      <c r="F478">
        <v>25245</v>
      </c>
      <c r="G478" t="str">
        <f t="shared" si="63"/>
        <v>GoldenPoppy</v>
      </c>
      <c r="H478" t="str">
        <f t="shared" si="64"/>
        <v>FCC200</v>
      </c>
      <c r="I478" t="str">
        <f t="shared" si="65"/>
        <v>FC</v>
      </c>
      <c r="J478" t="str">
        <f t="shared" si="66"/>
        <v>C2</v>
      </c>
      <c r="K478" t="str">
        <f t="shared" si="67"/>
        <v>00</v>
      </c>
      <c r="L478">
        <f t="shared" si="68"/>
        <v>252</v>
      </c>
      <c r="M478">
        <f t="shared" si="69"/>
        <v>194</v>
      </c>
      <c r="N478">
        <f t="shared" si="70"/>
        <v>0</v>
      </c>
      <c r="P478" t="str">
        <f t="shared" si="71"/>
        <v>.GoldenPoppy-bg{background-color:#FCC200;}</v>
      </c>
    </row>
    <row r="479" spans="2:16" ht="15.75">
      <c r="B479" s="1" t="s">
        <v>1125</v>
      </c>
      <c r="C479" t="s">
        <v>1126</v>
      </c>
      <c r="D479">
        <v>25500</v>
      </c>
      <c r="E479">
        <v>22185</v>
      </c>
      <c r="F479">
        <v>25500</v>
      </c>
      <c r="G479" t="str">
        <f t="shared" si="63"/>
        <v>GoldenYellow</v>
      </c>
      <c r="H479" t="str">
        <f t="shared" si="64"/>
        <v>FFDF00</v>
      </c>
      <c r="I479" t="str">
        <f t="shared" si="65"/>
        <v>FF</v>
      </c>
      <c r="J479" t="str">
        <f t="shared" si="66"/>
        <v>DF</v>
      </c>
      <c r="K479" t="str">
        <f t="shared" si="67"/>
        <v>00</v>
      </c>
      <c r="L479">
        <f t="shared" si="68"/>
        <v>255</v>
      </c>
      <c r="M479">
        <f t="shared" si="69"/>
        <v>223</v>
      </c>
      <c r="N479">
        <f t="shared" si="70"/>
        <v>0</v>
      </c>
      <c r="P479" t="str">
        <f t="shared" si="71"/>
        <v>.GoldenYellow-bg{background-color:#FFDF00;}</v>
      </c>
    </row>
    <row r="480" spans="2:16" ht="15.75">
      <c r="B480" s="1" t="s">
        <v>1127</v>
      </c>
      <c r="C480" t="s">
        <v>1128</v>
      </c>
      <c r="D480">
        <v>21675</v>
      </c>
      <c r="E480">
        <v>16575</v>
      </c>
      <c r="F480">
        <v>21675</v>
      </c>
      <c r="G480" t="str">
        <f t="shared" si="63"/>
        <v>Goldenrod</v>
      </c>
      <c r="H480" t="str">
        <f t="shared" si="64"/>
        <v>DAA520</v>
      </c>
      <c r="I480" t="str">
        <f t="shared" si="65"/>
        <v>DA</v>
      </c>
      <c r="J480" t="str">
        <f t="shared" si="66"/>
        <v>A5</v>
      </c>
      <c r="K480" t="str">
        <f t="shared" si="67"/>
        <v>20</v>
      </c>
      <c r="L480">
        <f t="shared" si="68"/>
        <v>218</v>
      </c>
      <c r="M480">
        <f t="shared" si="69"/>
        <v>165</v>
      </c>
      <c r="N480">
        <f t="shared" si="70"/>
        <v>32</v>
      </c>
      <c r="P480" t="str">
        <f t="shared" si="71"/>
        <v>.Goldenrod-bg{background-color:#DAA520;}</v>
      </c>
    </row>
    <row r="481" spans="2:16" ht="15.75">
      <c r="B481" s="1" t="s">
        <v>1129</v>
      </c>
      <c r="C481" t="s">
        <v>1130</v>
      </c>
      <c r="D481">
        <v>10200</v>
      </c>
      <c r="E481">
        <v>10200</v>
      </c>
      <c r="F481">
        <v>10200</v>
      </c>
      <c r="G481" t="str">
        <f t="shared" si="63"/>
        <v>GraniteGray</v>
      </c>
      <c r="H481" t="str">
        <f t="shared" si="64"/>
        <v>676767</v>
      </c>
      <c r="I481" t="str">
        <f t="shared" si="65"/>
        <v>67</v>
      </c>
      <c r="J481" t="str">
        <f t="shared" si="66"/>
        <v>67</v>
      </c>
      <c r="K481" t="str">
        <f t="shared" si="67"/>
        <v>67</v>
      </c>
      <c r="L481">
        <f t="shared" si="68"/>
        <v>103</v>
      </c>
      <c r="M481">
        <f t="shared" si="69"/>
        <v>103</v>
      </c>
      <c r="N481">
        <f t="shared" si="70"/>
        <v>103</v>
      </c>
      <c r="P481" t="str">
        <f t="shared" si="71"/>
        <v>.GraniteGray-bg{background-color:#676767;}</v>
      </c>
    </row>
    <row r="482" spans="2:16" ht="15.75">
      <c r="B482" s="1" t="s">
        <v>1131</v>
      </c>
      <c r="C482" t="s">
        <v>1132</v>
      </c>
      <c r="D482">
        <v>16830</v>
      </c>
      <c r="E482">
        <v>22695</v>
      </c>
      <c r="F482">
        <v>16830</v>
      </c>
      <c r="G482" t="str">
        <f t="shared" si="63"/>
        <v>GrannySmithApple</v>
      </c>
      <c r="H482" t="str">
        <f t="shared" si="64"/>
        <v>A8E4A0</v>
      </c>
      <c r="I482" t="str">
        <f t="shared" si="65"/>
        <v>A8</v>
      </c>
      <c r="J482" t="str">
        <f t="shared" si="66"/>
        <v>E4</v>
      </c>
      <c r="K482" t="str">
        <f t="shared" si="67"/>
        <v>A0</v>
      </c>
      <c r="L482">
        <f t="shared" si="68"/>
        <v>168</v>
      </c>
      <c r="M482">
        <f t="shared" si="69"/>
        <v>228</v>
      </c>
      <c r="N482">
        <f t="shared" si="70"/>
        <v>160</v>
      </c>
      <c r="P482" t="str">
        <f t="shared" si="71"/>
        <v>.GrannySmithApple-bg{background-color:#A8E4A0;}</v>
      </c>
    </row>
    <row r="483" spans="2:16" ht="15.75">
      <c r="B483" s="1" t="s">
        <v>1133</v>
      </c>
      <c r="C483" t="s">
        <v>1134</v>
      </c>
      <c r="D483">
        <v>11220</v>
      </c>
      <c r="E483">
        <v>4590</v>
      </c>
      <c r="F483">
        <v>11220</v>
      </c>
      <c r="G483" t="str">
        <f t="shared" si="63"/>
        <v>Grape</v>
      </c>
      <c r="H483" t="str">
        <f t="shared" si="64"/>
        <v>6F2DA8</v>
      </c>
      <c r="I483" t="str">
        <f t="shared" si="65"/>
        <v>6F</v>
      </c>
      <c r="J483" t="str">
        <f t="shared" si="66"/>
        <v>2D</v>
      </c>
      <c r="K483" t="str">
        <f t="shared" si="67"/>
        <v>A8</v>
      </c>
      <c r="L483">
        <f t="shared" si="68"/>
        <v>111</v>
      </c>
      <c r="M483">
        <f t="shared" si="69"/>
        <v>45</v>
      </c>
      <c r="N483">
        <f t="shared" si="70"/>
        <v>168</v>
      </c>
      <c r="P483" t="str">
        <f t="shared" si="71"/>
        <v>.Grape-bg{background-color:#6F2DA8;}</v>
      </c>
    </row>
    <row r="484" spans="2:16" ht="15.75">
      <c r="B484" s="1" t="s">
        <v>1135</v>
      </c>
      <c r="C484" t="s">
        <v>1136</v>
      </c>
      <c r="D484">
        <v>12750</v>
      </c>
      <c r="E484">
        <v>12750</v>
      </c>
      <c r="F484">
        <v>12750</v>
      </c>
      <c r="G484" t="str">
        <f t="shared" si="63"/>
        <v>Gray</v>
      </c>
      <c r="H484" t="str">
        <f t="shared" si="64"/>
        <v>808080</v>
      </c>
      <c r="I484" t="str">
        <f t="shared" si="65"/>
        <v>80</v>
      </c>
      <c r="J484" t="str">
        <f t="shared" si="66"/>
        <v>80</v>
      </c>
      <c r="K484" t="str">
        <f t="shared" si="67"/>
        <v>80</v>
      </c>
      <c r="L484">
        <f t="shared" si="68"/>
        <v>128</v>
      </c>
      <c r="M484">
        <f t="shared" si="69"/>
        <v>128</v>
      </c>
      <c r="N484">
        <f t="shared" si="70"/>
        <v>128</v>
      </c>
      <c r="P484" t="str">
        <f t="shared" si="71"/>
        <v>.Gray-bg{background-color:#808080;}</v>
      </c>
    </row>
    <row r="485" spans="2:16" ht="15.75">
      <c r="B485" s="1" t="s">
        <v>1137</v>
      </c>
      <c r="C485" t="s">
        <v>1136</v>
      </c>
      <c r="D485">
        <v>12750</v>
      </c>
      <c r="E485">
        <v>12750</v>
      </c>
      <c r="F485">
        <v>12750</v>
      </c>
      <c r="G485" t="str">
        <f t="shared" si="63"/>
        <v>GrayHtmlcssGray</v>
      </c>
      <c r="H485" t="str">
        <f t="shared" si="64"/>
        <v>808080</v>
      </c>
      <c r="I485" t="str">
        <f t="shared" si="65"/>
        <v>80</v>
      </c>
      <c r="J485" t="str">
        <f t="shared" si="66"/>
        <v>80</v>
      </c>
      <c r="K485" t="str">
        <f t="shared" si="67"/>
        <v>80</v>
      </c>
      <c r="L485">
        <f t="shared" si="68"/>
        <v>128</v>
      </c>
      <c r="M485">
        <f t="shared" si="69"/>
        <v>128</v>
      </c>
      <c r="N485">
        <f t="shared" si="70"/>
        <v>128</v>
      </c>
      <c r="P485" t="str">
        <f t="shared" si="71"/>
        <v>.GrayHtmlcssGray-bg{background-color:#808080;}</v>
      </c>
    </row>
    <row r="486" spans="2:16" ht="15.75">
      <c r="B486" s="1" t="s">
        <v>1138</v>
      </c>
      <c r="C486" t="s">
        <v>1139</v>
      </c>
      <c r="D486">
        <v>19125</v>
      </c>
      <c r="E486">
        <v>19125</v>
      </c>
      <c r="F486">
        <v>19125</v>
      </c>
      <c r="G486" t="str">
        <f t="shared" si="63"/>
        <v>GrayX11Gray</v>
      </c>
      <c r="H486" t="str">
        <f t="shared" si="64"/>
        <v>BEBEBE</v>
      </c>
      <c r="I486" t="str">
        <f t="shared" si="65"/>
        <v>BE</v>
      </c>
      <c r="J486" t="str">
        <f t="shared" si="66"/>
        <v>BE</v>
      </c>
      <c r="K486" t="str">
        <f t="shared" si="67"/>
        <v>BE</v>
      </c>
      <c r="L486">
        <f t="shared" si="68"/>
        <v>190</v>
      </c>
      <c r="M486">
        <f t="shared" si="69"/>
        <v>190</v>
      </c>
      <c r="N486">
        <f t="shared" si="70"/>
        <v>190</v>
      </c>
      <c r="P486" t="str">
        <f t="shared" si="71"/>
        <v>.GrayX11Gray-bg{background-color:#BEBEBE;}</v>
      </c>
    </row>
    <row r="487" spans="2:16" ht="15.75">
      <c r="B487" s="1" t="s">
        <v>1140</v>
      </c>
      <c r="C487" t="s">
        <v>1141</v>
      </c>
      <c r="D487">
        <v>6885</v>
      </c>
      <c r="E487">
        <v>8925</v>
      </c>
      <c r="F487">
        <v>6885</v>
      </c>
      <c r="G487" t="str">
        <f t="shared" si="63"/>
        <v>Grayasparagus</v>
      </c>
      <c r="H487" t="str">
        <f t="shared" si="64"/>
        <v>465945</v>
      </c>
      <c r="I487" t="str">
        <f t="shared" si="65"/>
        <v>46</v>
      </c>
      <c r="J487" t="str">
        <f t="shared" si="66"/>
        <v>59</v>
      </c>
      <c r="K487" t="str">
        <f t="shared" si="67"/>
        <v>45</v>
      </c>
      <c r="L487">
        <f t="shared" si="68"/>
        <v>70</v>
      </c>
      <c r="M487">
        <f t="shared" si="69"/>
        <v>89</v>
      </c>
      <c r="N487">
        <f t="shared" si="70"/>
        <v>69</v>
      </c>
      <c r="P487" t="str">
        <f t="shared" si="71"/>
        <v>.Grayasparagus-bg{background-color:#465945;}</v>
      </c>
    </row>
    <row r="488" spans="2:16" ht="15.75">
      <c r="B488" s="1" t="s">
        <v>1142</v>
      </c>
      <c r="C488" t="s">
        <v>666</v>
      </c>
      <c r="D488">
        <v>14025</v>
      </c>
      <c r="E488">
        <v>14535</v>
      </c>
      <c r="F488">
        <v>14025</v>
      </c>
      <c r="G488" t="str">
        <f t="shared" si="63"/>
        <v>Grayblue</v>
      </c>
      <c r="H488" t="str">
        <f t="shared" si="64"/>
        <v>8C92AC</v>
      </c>
      <c r="I488" t="str">
        <f t="shared" si="65"/>
        <v>8C</v>
      </c>
      <c r="J488" t="str">
        <f t="shared" si="66"/>
        <v>92</v>
      </c>
      <c r="K488" t="str">
        <f t="shared" si="67"/>
        <v>AC</v>
      </c>
      <c r="L488">
        <f t="shared" si="68"/>
        <v>140</v>
      </c>
      <c r="M488">
        <f t="shared" si="69"/>
        <v>146</v>
      </c>
      <c r="N488">
        <f t="shared" si="70"/>
        <v>172</v>
      </c>
      <c r="P488" t="str">
        <f t="shared" si="71"/>
        <v>.Grayblue-bg{background-color:#8C92AC;}</v>
      </c>
    </row>
    <row r="489" spans="2:16" ht="15.75">
      <c r="B489" s="1" t="s">
        <v>1143</v>
      </c>
      <c r="C489" t="s">
        <v>964</v>
      </c>
      <c r="D489">
        <v>0</v>
      </c>
      <c r="E489">
        <v>25500</v>
      </c>
      <c r="F489">
        <v>0</v>
      </c>
      <c r="G489" t="str">
        <f t="shared" si="63"/>
        <v>GreenColorWheelX11Green</v>
      </c>
      <c r="H489" t="str">
        <f t="shared" si="64"/>
        <v>00FF00</v>
      </c>
      <c r="I489" t="str">
        <f t="shared" si="65"/>
        <v>00</v>
      </c>
      <c r="J489" t="str">
        <f t="shared" si="66"/>
        <v>FF</v>
      </c>
      <c r="K489" t="str">
        <f t="shared" si="67"/>
        <v>00</v>
      </c>
      <c r="L489">
        <f t="shared" si="68"/>
        <v>0</v>
      </c>
      <c r="M489">
        <f t="shared" si="69"/>
        <v>255</v>
      </c>
      <c r="N489">
        <f t="shared" si="70"/>
        <v>0</v>
      </c>
      <c r="P489" t="str">
        <f t="shared" si="71"/>
        <v>.GreenColorWheelX11Green-bg{background-color:#00FF00;}</v>
      </c>
    </row>
    <row r="490" spans="2:16" ht="15.75">
      <c r="B490" s="1" t="s">
        <v>1144</v>
      </c>
      <c r="C490" t="s">
        <v>1145</v>
      </c>
      <c r="D490">
        <v>2805</v>
      </c>
      <c r="E490">
        <v>17085</v>
      </c>
      <c r="F490">
        <v>2805</v>
      </c>
      <c r="G490" t="str">
        <f t="shared" si="63"/>
        <v>GreenCrayola</v>
      </c>
      <c r="H490" t="str">
        <f t="shared" si="64"/>
        <v>1CAC78</v>
      </c>
      <c r="I490" t="str">
        <f t="shared" si="65"/>
        <v>1C</v>
      </c>
      <c r="J490" t="str">
        <f t="shared" si="66"/>
        <v>AC</v>
      </c>
      <c r="K490" t="str">
        <f t="shared" si="67"/>
        <v>78</v>
      </c>
      <c r="L490">
        <f t="shared" si="68"/>
        <v>28</v>
      </c>
      <c r="M490">
        <f t="shared" si="69"/>
        <v>172</v>
      </c>
      <c r="N490">
        <f t="shared" si="70"/>
        <v>120</v>
      </c>
      <c r="P490" t="str">
        <f t="shared" si="71"/>
        <v>.GreenCrayola-bg{background-color:#1CAC78;}</v>
      </c>
    </row>
    <row r="491" spans="2:16" ht="15.75">
      <c r="B491" s="1" t="s">
        <v>1146</v>
      </c>
      <c r="C491" t="s">
        <v>266</v>
      </c>
      <c r="D491">
        <v>0</v>
      </c>
      <c r="E491">
        <v>12750</v>
      </c>
      <c r="F491">
        <v>0</v>
      </c>
      <c r="G491" t="str">
        <f t="shared" si="63"/>
        <v>GreenHtmlcssColor</v>
      </c>
      <c r="H491" t="str">
        <f t="shared" si="64"/>
        <v>008000</v>
      </c>
      <c r="I491" t="str">
        <f t="shared" si="65"/>
        <v>00</v>
      </c>
      <c r="J491" t="str">
        <f t="shared" si="66"/>
        <v>80</v>
      </c>
      <c r="K491" t="str">
        <f t="shared" si="67"/>
        <v>00</v>
      </c>
      <c r="L491">
        <f t="shared" si="68"/>
        <v>0</v>
      </c>
      <c r="M491">
        <f t="shared" si="69"/>
        <v>128</v>
      </c>
      <c r="N491">
        <f t="shared" si="70"/>
        <v>0</v>
      </c>
      <c r="P491" t="str">
        <f t="shared" si="71"/>
        <v>.GreenHtmlcssColor-bg{background-color:#008000;}</v>
      </c>
    </row>
    <row r="492" spans="2:16" ht="15.75">
      <c r="B492" s="1" t="s">
        <v>1147</v>
      </c>
      <c r="C492" t="s">
        <v>1148</v>
      </c>
      <c r="D492">
        <v>0</v>
      </c>
      <c r="E492">
        <v>16830</v>
      </c>
      <c r="F492">
        <v>0</v>
      </c>
      <c r="G492" t="str">
        <f t="shared" si="63"/>
        <v>GreenMunsell</v>
      </c>
      <c r="H492" t="str">
        <f t="shared" si="64"/>
        <v>00A877</v>
      </c>
      <c r="I492" t="str">
        <f t="shared" si="65"/>
        <v>00</v>
      </c>
      <c r="J492" t="str">
        <f t="shared" si="66"/>
        <v>A8</v>
      </c>
      <c r="K492" t="str">
        <f t="shared" si="67"/>
        <v>77</v>
      </c>
      <c r="L492">
        <f t="shared" si="68"/>
        <v>0</v>
      </c>
      <c r="M492">
        <f t="shared" si="69"/>
        <v>168</v>
      </c>
      <c r="N492">
        <f t="shared" si="70"/>
        <v>119</v>
      </c>
      <c r="P492" t="str">
        <f t="shared" si="71"/>
        <v>.GreenMunsell-bg{background-color:#00A877;}</v>
      </c>
    </row>
    <row r="493" spans="2:16" ht="15.75">
      <c r="B493" s="1" t="s">
        <v>1149</v>
      </c>
      <c r="C493" t="s">
        <v>1150</v>
      </c>
      <c r="D493">
        <v>0</v>
      </c>
      <c r="E493">
        <v>15810</v>
      </c>
      <c r="F493">
        <v>0</v>
      </c>
      <c r="G493" t="str">
        <f t="shared" si="63"/>
        <v>GreenNcs</v>
      </c>
      <c r="H493" t="str">
        <f t="shared" si="64"/>
        <v>009F6B</v>
      </c>
      <c r="I493" t="str">
        <f t="shared" si="65"/>
        <v>00</v>
      </c>
      <c r="J493" t="str">
        <f t="shared" si="66"/>
        <v>9F</v>
      </c>
      <c r="K493" t="str">
        <f t="shared" si="67"/>
        <v>6B</v>
      </c>
      <c r="L493">
        <f t="shared" si="68"/>
        <v>0</v>
      </c>
      <c r="M493">
        <f t="shared" si="69"/>
        <v>159</v>
      </c>
      <c r="N493">
        <f t="shared" si="70"/>
        <v>107</v>
      </c>
      <c r="P493" t="str">
        <f t="shared" si="71"/>
        <v>.GreenNcs-bg{background-color:#009F6B;}</v>
      </c>
    </row>
    <row r="494" spans="2:16" ht="15.75">
      <c r="B494" s="1" t="s">
        <v>1151</v>
      </c>
      <c r="C494" t="s">
        <v>1152</v>
      </c>
      <c r="D494">
        <v>0</v>
      </c>
      <c r="E494">
        <v>17340</v>
      </c>
      <c r="F494">
        <v>0</v>
      </c>
      <c r="G494" t="str">
        <f t="shared" si="63"/>
        <v>GreenPantone</v>
      </c>
      <c r="H494" t="str">
        <f t="shared" si="64"/>
        <v>00AD43</v>
      </c>
      <c r="I494" t="str">
        <f t="shared" si="65"/>
        <v>00</v>
      </c>
      <c r="J494" t="str">
        <f t="shared" si="66"/>
        <v>AD</v>
      </c>
      <c r="K494" t="str">
        <f t="shared" si="67"/>
        <v>43</v>
      </c>
      <c r="L494">
        <f t="shared" si="68"/>
        <v>0</v>
      </c>
      <c r="M494">
        <f t="shared" si="69"/>
        <v>173</v>
      </c>
      <c r="N494">
        <f t="shared" si="70"/>
        <v>67</v>
      </c>
      <c r="P494" t="str">
        <f t="shared" si="71"/>
        <v>.GreenPantone-bg{background-color:#00AD43;}</v>
      </c>
    </row>
    <row r="495" spans="2:16" ht="15.75">
      <c r="B495" s="1" t="s">
        <v>1153</v>
      </c>
      <c r="C495" t="s">
        <v>1154</v>
      </c>
      <c r="D495">
        <v>0</v>
      </c>
      <c r="E495">
        <v>16575</v>
      </c>
      <c r="F495">
        <v>0</v>
      </c>
      <c r="G495" t="str">
        <f t="shared" si="63"/>
        <v>GreenPigment</v>
      </c>
      <c r="H495" t="str">
        <f t="shared" si="64"/>
        <v>00A550</v>
      </c>
      <c r="I495" t="str">
        <f t="shared" si="65"/>
        <v>00</v>
      </c>
      <c r="J495" t="str">
        <f t="shared" si="66"/>
        <v>A5</v>
      </c>
      <c r="K495" t="str">
        <f t="shared" si="67"/>
        <v>50</v>
      </c>
      <c r="L495">
        <f t="shared" si="68"/>
        <v>0</v>
      </c>
      <c r="M495">
        <f t="shared" si="69"/>
        <v>165</v>
      </c>
      <c r="N495">
        <f t="shared" si="70"/>
        <v>80</v>
      </c>
      <c r="P495" t="str">
        <f t="shared" si="71"/>
        <v>.GreenPigment-bg{background-color:#00A550;}</v>
      </c>
    </row>
    <row r="496" spans="2:16" ht="15.75">
      <c r="B496" s="1" t="s">
        <v>1155</v>
      </c>
      <c r="C496" t="s">
        <v>1156</v>
      </c>
      <c r="D496">
        <v>10200</v>
      </c>
      <c r="E496">
        <v>17595</v>
      </c>
      <c r="F496">
        <v>10200</v>
      </c>
      <c r="G496" t="str">
        <f t="shared" si="63"/>
        <v>GreenRyb</v>
      </c>
      <c r="H496" t="str">
        <f t="shared" si="64"/>
        <v>66B032</v>
      </c>
      <c r="I496" t="str">
        <f t="shared" si="65"/>
        <v>66</v>
      </c>
      <c r="J496" t="str">
        <f t="shared" si="66"/>
        <v>B0</v>
      </c>
      <c r="K496" t="str">
        <f t="shared" si="67"/>
        <v>32</v>
      </c>
      <c r="L496">
        <f t="shared" si="68"/>
        <v>102</v>
      </c>
      <c r="M496">
        <f t="shared" si="69"/>
        <v>176</v>
      </c>
      <c r="N496">
        <f t="shared" si="70"/>
        <v>50</v>
      </c>
      <c r="P496" t="str">
        <f t="shared" si="71"/>
        <v>.GreenRyb-bg{background-color:#66B032;}</v>
      </c>
    </row>
    <row r="497" spans="2:16" ht="15.75">
      <c r="B497" s="1" t="s">
        <v>1157</v>
      </c>
      <c r="C497" t="s">
        <v>1158</v>
      </c>
      <c r="D497">
        <v>1785</v>
      </c>
      <c r="E497">
        <v>9945</v>
      </c>
      <c r="F497">
        <v>1785</v>
      </c>
      <c r="G497" t="str">
        <f t="shared" si="63"/>
        <v>Greenblue</v>
      </c>
      <c r="H497" t="str">
        <f t="shared" si="64"/>
        <v>1164B4</v>
      </c>
      <c r="I497" t="str">
        <f t="shared" si="65"/>
        <v>11</v>
      </c>
      <c r="J497" t="str">
        <f t="shared" si="66"/>
        <v>64</v>
      </c>
      <c r="K497" t="str">
        <f t="shared" si="67"/>
        <v>B4</v>
      </c>
      <c r="L497">
        <f t="shared" si="68"/>
        <v>17</v>
      </c>
      <c r="M497">
        <f t="shared" si="69"/>
        <v>100</v>
      </c>
      <c r="N497">
        <f t="shared" si="70"/>
        <v>180</v>
      </c>
      <c r="P497" t="str">
        <f t="shared" si="71"/>
        <v>.Greenblue-bg{background-color:#1164B4;}</v>
      </c>
    </row>
    <row r="498" spans="2:16" ht="15.75">
      <c r="B498" s="1" t="s">
        <v>1159</v>
      </c>
      <c r="C498" t="s">
        <v>1160</v>
      </c>
      <c r="D498">
        <v>0</v>
      </c>
      <c r="E498">
        <v>15300</v>
      </c>
      <c r="F498">
        <v>0</v>
      </c>
      <c r="G498" t="str">
        <f t="shared" si="63"/>
        <v>Greencyan</v>
      </c>
      <c r="H498" t="str">
        <f t="shared" si="64"/>
        <v>009966</v>
      </c>
      <c r="I498" t="str">
        <f t="shared" si="65"/>
        <v>00</v>
      </c>
      <c r="J498" t="str">
        <f t="shared" si="66"/>
        <v>99</v>
      </c>
      <c r="K498" t="str">
        <f t="shared" si="67"/>
        <v>66</v>
      </c>
      <c r="L498">
        <f t="shared" si="68"/>
        <v>0</v>
      </c>
      <c r="M498">
        <f t="shared" si="69"/>
        <v>153</v>
      </c>
      <c r="N498">
        <f t="shared" si="70"/>
        <v>102</v>
      </c>
      <c r="P498" t="str">
        <f t="shared" si="71"/>
        <v>.Greencyan-bg{background-color:#009966;}</v>
      </c>
    </row>
    <row r="499" spans="2:16" ht="15.75">
      <c r="B499" s="1" t="s">
        <v>1161</v>
      </c>
      <c r="C499" t="s">
        <v>1162</v>
      </c>
      <c r="D499">
        <v>16575</v>
      </c>
      <c r="E499">
        <v>24480</v>
      </c>
      <c r="F499">
        <v>16575</v>
      </c>
      <c r="G499" t="str">
        <f t="shared" si="63"/>
        <v>GreenLizard</v>
      </c>
      <c r="H499" t="str">
        <f t="shared" si="64"/>
        <v>A7F432</v>
      </c>
      <c r="I499" t="str">
        <f t="shared" si="65"/>
        <v>A7</v>
      </c>
      <c r="J499" t="str">
        <f t="shared" si="66"/>
        <v>F4</v>
      </c>
      <c r="K499" t="str">
        <f t="shared" si="67"/>
        <v>32</v>
      </c>
      <c r="L499">
        <f t="shared" si="68"/>
        <v>167</v>
      </c>
      <c r="M499">
        <f t="shared" si="69"/>
        <v>244</v>
      </c>
      <c r="N499">
        <f t="shared" si="70"/>
        <v>50</v>
      </c>
      <c r="P499" t="str">
        <f t="shared" si="71"/>
        <v>.GreenLizard-bg{background-color:#A7F432;}</v>
      </c>
    </row>
    <row r="500" spans="2:16" ht="15.75">
      <c r="B500" s="1" t="s">
        <v>1163</v>
      </c>
      <c r="C500" t="s">
        <v>1164</v>
      </c>
      <c r="D500">
        <v>10965</v>
      </c>
      <c r="E500">
        <v>17340</v>
      </c>
      <c r="F500">
        <v>10965</v>
      </c>
      <c r="G500" t="str">
        <f t="shared" si="63"/>
        <v>GreenSheen</v>
      </c>
      <c r="H500" t="str">
        <f t="shared" si="64"/>
        <v>6EAEA1</v>
      </c>
      <c r="I500" t="str">
        <f t="shared" si="65"/>
        <v>6E</v>
      </c>
      <c r="J500" t="str">
        <f t="shared" si="66"/>
        <v>AE</v>
      </c>
      <c r="K500" t="str">
        <f t="shared" si="67"/>
        <v>A1</v>
      </c>
      <c r="L500">
        <f t="shared" si="68"/>
        <v>110</v>
      </c>
      <c r="M500">
        <f t="shared" si="69"/>
        <v>174</v>
      </c>
      <c r="N500">
        <f t="shared" si="70"/>
        <v>161</v>
      </c>
      <c r="P500" t="str">
        <f t="shared" si="71"/>
        <v>.GreenSheen-bg{background-color:#6EAEA1;}</v>
      </c>
    </row>
    <row r="501" spans="2:16" ht="15.75">
      <c r="B501" s="1" t="s">
        <v>1165</v>
      </c>
      <c r="C501" t="s">
        <v>1166</v>
      </c>
      <c r="D501">
        <v>17340</v>
      </c>
      <c r="E501">
        <v>25500</v>
      </c>
      <c r="F501">
        <v>17340</v>
      </c>
      <c r="G501" t="str">
        <f t="shared" si="63"/>
        <v>Greenyellow</v>
      </c>
      <c r="H501" t="str">
        <f t="shared" si="64"/>
        <v>ADFF2F</v>
      </c>
      <c r="I501" t="str">
        <f t="shared" si="65"/>
        <v>AD</v>
      </c>
      <c r="J501" t="str">
        <f t="shared" si="66"/>
        <v>FF</v>
      </c>
      <c r="K501" t="str">
        <f t="shared" si="67"/>
        <v>2F</v>
      </c>
      <c r="L501">
        <f t="shared" si="68"/>
        <v>173</v>
      </c>
      <c r="M501">
        <f t="shared" si="69"/>
        <v>255</v>
      </c>
      <c r="N501">
        <f t="shared" si="70"/>
        <v>47</v>
      </c>
      <c r="P501" t="str">
        <f t="shared" si="71"/>
        <v>.Greenyellow-bg{background-color:#ADFF2F;}</v>
      </c>
    </row>
    <row r="502" spans="2:16" ht="15.75">
      <c r="B502" s="1" t="s">
        <v>1167</v>
      </c>
      <c r="C502" t="s">
        <v>1168</v>
      </c>
      <c r="D502">
        <v>13515</v>
      </c>
      <c r="E502">
        <v>8925</v>
      </c>
      <c r="F502">
        <v>13515</v>
      </c>
      <c r="G502" t="str">
        <f t="shared" si="63"/>
        <v>Grizzly</v>
      </c>
      <c r="H502" t="str">
        <f t="shared" si="64"/>
        <v>885818</v>
      </c>
      <c r="I502" t="str">
        <f t="shared" si="65"/>
        <v>88</v>
      </c>
      <c r="J502" t="str">
        <f t="shared" si="66"/>
        <v>58</v>
      </c>
      <c r="K502" t="str">
        <f t="shared" si="67"/>
        <v>18</v>
      </c>
      <c r="L502">
        <f t="shared" si="68"/>
        <v>136</v>
      </c>
      <c r="M502">
        <f t="shared" si="69"/>
        <v>88</v>
      </c>
      <c r="N502">
        <f t="shared" si="70"/>
        <v>24</v>
      </c>
      <c r="P502" t="str">
        <f t="shared" si="71"/>
        <v>.Grizzly-bg{background-color:#885818;}</v>
      </c>
    </row>
    <row r="503" spans="2:16" ht="15.75">
      <c r="B503" s="1" t="s">
        <v>1169</v>
      </c>
      <c r="C503" t="s">
        <v>1170</v>
      </c>
      <c r="D503">
        <v>16830</v>
      </c>
      <c r="E503">
        <v>15300</v>
      </c>
      <c r="F503">
        <v>16830</v>
      </c>
      <c r="G503" t="str">
        <f t="shared" si="63"/>
        <v>Grullo</v>
      </c>
      <c r="H503" t="str">
        <f t="shared" si="64"/>
        <v>A99A86</v>
      </c>
      <c r="I503" t="str">
        <f t="shared" si="65"/>
        <v>A9</v>
      </c>
      <c r="J503" t="str">
        <f t="shared" si="66"/>
        <v>9A</v>
      </c>
      <c r="K503" t="str">
        <f t="shared" si="67"/>
        <v>86</v>
      </c>
      <c r="L503">
        <f t="shared" si="68"/>
        <v>169</v>
      </c>
      <c r="M503">
        <f t="shared" si="69"/>
        <v>154</v>
      </c>
      <c r="N503">
        <f t="shared" si="70"/>
        <v>134</v>
      </c>
      <c r="P503" t="str">
        <f t="shared" si="71"/>
        <v>.Grullo-bg{background-color:#A99A86;}</v>
      </c>
    </row>
    <row r="504" spans="2:16" ht="15.75">
      <c r="B504" s="1" t="s">
        <v>1171</v>
      </c>
      <c r="C504" t="s">
        <v>1172</v>
      </c>
      <c r="D504">
        <v>0</v>
      </c>
      <c r="E504">
        <v>25500</v>
      </c>
      <c r="F504">
        <v>0</v>
      </c>
      <c r="G504" t="str">
        <f t="shared" si="63"/>
        <v>GuppieGreen</v>
      </c>
      <c r="H504" t="str">
        <f t="shared" si="64"/>
        <v>00FF7F</v>
      </c>
      <c r="I504" t="str">
        <f t="shared" si="65"/>
        <v>00</v>
      </c>
      <c r="J504" t="str">
        <f t="shared" si="66"/>
        <v>FF</v>
      </c>
      <c r="K504" t="str">
        <f t="shared" si="67"/>
        <v>7F</v>
      </c>
      <c r="L504">
        <f t="shared" si="68"/>
        <v>0</v>
      </c>
      <c r="M504">
        <f t="shared" si="69"/>
        <v>255</v>
      </c>
      <c r="N504">
        <f t="shared" si="70"/>
        <v>127</v>
      </c>
      <c r="P504" t="str">
        <f t="shared" si="71"/>
        <v>.GuppieGreen-bg{background-color:#00FF7F;}</v>
      </c>
    </row>
    <row r="505" spans="2:16" ht="15.75">
      <c r="B505" s="1" t="s">
        <v>1173</v>
      </c>
      <c r="C505" t="s">
        <v>1174</v>
      </c>
      <c r="D505">
        <v>4080</v>
      </c>
      <c r="E505">
        <v>5100</v>
      </c>
      <c r="F505">
        <v>4080</v>
      </c>
      <c r="G505" t="str">
        <f t="shared" si="63"/>
        <v>Gunmetal</v>
      </c>
      <c r="H505" t="str">
        <f t="shared" si="64"/>
        <v>2a3439</v>
      </c>
      <c r="I505" t="str">
        <f t="shared" si="65"/>
        <v>2a</v>
      </c>
      <c r="J505" t="str">
        <f t="shared" si="66"/>
        <v>34</v>
      </c>
      <c r="K505" t="str">
        <f t="shared" si="67"/>
        <v>39</v>
      </c>
      <c r="L505">
        <f t="shared" si="68"/>
        <v>42</v>
      </c>
      <c r="M505">
        <f t="shared" si="69"/>
        <v>52</v>
      </c>
      <c r="N505">
        <f t="shared" si="70"/>
        <v>57</v>
      </c>
      <c r="P505" t="str">
        <f t="shared" si="71"/>
        <v>.Gunmetal-bg{background-color:#2a3439;}</v>
      </c>
    </row>
    <row r="506" spans="2:16" ht="15.75">
      <c r="B506" s="1" t="s">
        <v>1175</v>
      </c>
      <c r="C506" t="s">
        <v>1176</v>
      </c>
      <c r="D506">
        <v>10200</v>
      </c>
      <c r="E506">
        <v>5610</v>
      </c>
      <c r="F506">
        <v>10200</v>
      </c>
      <c r="G506" t="str">
        <f t="shared" si="63"/>
        <v>HalayBe</v>
      </c>
      <c r="H506" t="str">
        <f t="shared" si="64"/>
        <v>663854</v>
      </c>
      <c r="I506" t="str">
        <f t="shared" si="65"/>
        <v>66</v>
      </c>
      <c r="J506" t="str">
        <f t="shared" si="66"/>
        <v>38</v>
      </c>
      <c r="K506" t="str">
        <f t="shared" si="67"/>
        <v>54</v>
      </c>
      <c r="L506">
        <f t="shared" si="68"/>
        <v>102</v>
      </c>
      <c r="M506">
        <f t="shared" si="69"/>
        <v>56</v>
      </c>
      <c r="N506">
        <f t="shared" si="70"/>
        <v>84</v>
      </c>
      <c r="P506" t="str">
        <f t="shared" si="71"/>
        <v>.HalayBe-bg{background-color:#663854;}</v>
      </c>
    </row>
    <row r="507" spans="2:16" ht="15.75">
      <c r="B507" s="1" t="s">
        <v>1177</v>
      </c>
      <c r="C507" t="s">
        <v>1178</v>
      </c>
      <c r="D507">
        <v>6885</v>
      </c>
      <c r="E507">
        <v>10710</v>
      </c>
      <c r="F507">
        <v>6885</v>
      </c>
      <c r="G507" t="str">
        <f t="shared" si="63"/>
        <v>HanBlue</v>
      </c>
      <c r="H507" t="str">
        <f t="shared" si="64"/>
        <v>446CCF</v>
      </c>
      <c r="I507" t="str">
        <f t="shared" si="65"/>
        <v>44</v>
      </c>
      <c r="J507" t="str">
        <f t="shared" si="66"/>
        <v>6C</v>
      </c>
      <c r="K507" t="str">
        <f t="shared" si="67"/>
        <v>CF</v>
      </c>
      <c r="L507">
        <f t="shared" si="68"/>
        <v>68</v>
      </c>
      <c r="M507">
        <f t="shared" si="69"/>
        <v>108</v>
      </c>
      <c r="N507">
        <f t="shared" si="70"/>
        <v>207</v>
      </c>
      <c r="P507" t="str">
        <f t="shared" si="71"/>
        <v>.HanBlue-bg{background-color:#446CCF;}</v>
      </c>
    </row>
    <row r="508" spans="2:16" ht="15.75">
      <c r="B508" s="1" t="s">
        <v>1179</v>
      </c>
      <c r="C508" t="s">
        <v>1180</v>
      </c>
      <c r="D508">
        <v>8160</v>
      </c>
      <c r="E508">
        <v>2295</v>
      </c>
      <c r="F508">
        <v>8160</v>
      </c>
      <c r="G508" t="str">
        <f t="shared" si="63"/>
        <v>HanPurple</v>
      </c>
      <c r="H508" t="str">
        <f t="shared" si="64"/>
        <v>5218FA</v>
      </c>
      <c r="I508" t="str">
        <f t="shared" si="65"/>
        <v>52</v>
      </c>
      <c r="J508" t="str">
        <f t="shared" si="66"/>
        <v>18</v>
      </c>
      <c r="K508" t="str">
        <f t="shared" si="67"/>
        <v>FA</v>
      </c>
      <c r="L508">
        <f t="shared" si="68"/>
        <v>82</v>
      </c>
      <c r="M508">
        <f t="shared" si="69"/>
        <v>24</v>
      </c>
      <c r="N508">
        <f t="shared" si="70"/>
        <v>250</v>
      </c>
      <c r="P508" t="str">
        <f t="shared" si="71"/>
        <v>.HanPurple-bg{background-color:#5218FA;}</v>
      </c>
    </row>
    <row r="509" spans="2:16" ht="15.75">
      <c r="B509" s="1" t="s">
        <v>1181</v>
      </c>
      <c r="C509" t="s">
        <v>284</v>
      </c>
      <c r="D509">
        <v>23205</v>
      </c>
      <c r="E509">
        <v>21420</v>
      </c>
      <c r="F509">
        <v>23205</v>
      </c>
      <c r="G509" t="str">
        <f t="shared" si="63"/>
        <v>HansaYellow</v>
      </c>
      <c r="H509" t="str">
        <f t="shared" si="64"/>
        <v>E9D66B</v>
      </c>
      <c r="I509" t="str">
        <f t="shared" si="65"/>
        <v>E9</v>
      </c>
      <c r="J509" t="str">
        <f t="shared" si="66"/>
        <v>D6</v>
      </c>
      <c r="K509" t="str">
        <f t="shared" si="67"/>
        <v>6B</v>
      </c>
      <c r="L509">
        <f t="shared" si="68"/>
        <v>233</v>
      </c>
      <c r="M509">
        <f t="shared" si="69"/>
        <v>214</v>
      </c>
      <c r="N509">
        <f t="shared" si="70"/>
        <v>107</v>
      </c>
      <c r="P509" t="str">
        <f t="shared" si="71"/>
        <v>.HansaYellow-bg{background-color:#E9D66B;}</v>
      </c>
    </row>
    <row r="510" spans="2:16" ht="15.75">
      <c r="B510" s="1" t="s">
        <v>1182</v>
      </c>
      <c r="C510" t="s">
        <v>1183</v>
      </c>
      <c r="D510">
        <v>6375</v>
      </c>
      <c r="E510">
        <v>25500</v>
      </c>
      <c r="F510">
        <v>6375</v>
      </c>
      <c r="G510" t="str">
        <f t="shared" si="63"/>
        <v>Harlequin</v>
      </c>
      <c r="H510" t="str">
        <f t="shared" si="64"/>
        <v>3FFF00</v>
      </c>
      <c r="I510" t="str">
        <f t="shared" si="65"/>
        <v>3F</v>
      </c>
      <c r="J510" t="str">
        <f t="shared" si="66"/>
        <v>FF</v>
      </c>
      <c r="K510" t="str">
        <f t="shared" si="67"/>
        <v>00</v>
      </c>
      <c r="L510">
        <f t="shared" si="68"/>
        <v>63</v>
      </c>
      <c r="M510">
        <f t="shared" si="69"/>
        <v>255</v>
      </c>
      <c r="N510">
        <f t="shared" si="70"/>
        <v>0</v>
      </c>
      <c r="P510" t="str">
        <f t="shared" si="71"/>
        <v>.Harlequin-bg{background-color:#3FFF00;}</v>
      </c>
    </row>
    <row r="511" spans="2:16" ht="15.75">
      <c r="B511" s="1" t="s">
        <v>1184</v>
      </c>
      <c r="C511" t="s">
        <v>1185</v>
      </c>
      <c r="D511">
        <v>6885</v>
      </c>
      <c r="E511">
        <v>20400</v>
      </c>
      <c r="F511">
        <v>6885</v>
      </c>
      <c r="G511" t="str">
        <f t="shared" si="63"/>
        <v>HarlequinGreen</v>
      </c>
      <c r="H511" t="str">
        <f t="shared" si="64"/>
        <v>46CB18</v>
      </c>
      <c r="I511" t="str">
        <f t="shared" si="65"/>
        <v>46</v>
      </c>
      <c r="J511" t="str">
        <f t="shared" si="66"/>
        <v>CB</v>
      </c>
      <c r="K511" t="str">
        <f t="shared" si="67"/>
        <v>18</v>
      </c>
      <c r="L511">
        <f t="shared" si="68"/>
        <v>70</v>
      </c>
      <c r="M511">
        <f t="shared" si="69"/>
        <v>203</v>
      </c>
      <c r="N511">
        <f t="shared" si="70"/>
        <v>24</v>
      </c>
      <c r="P511" t="str">
        <f t="shared" si="71"/>
        <v>.HarlequinGreen-bg{background-color:#46CB18;}</v>
      </c>
    </row>
    <row r="512" spans="2:16" ht="15.75">
      <c r="B512" s="1" t="s">
        <v>1186</v>
      </c>
      <c r="C512" t="s">
        <v>1187</v>
      </c>
      <c r="D512">
        <v>20145</v>
      </c>
      <c r="E512">
        <v>0</v>
      </c>
      <c r="F512">
        <v>20145</v>
      </c>
      <c r="G512" t="str">
        <f t="shared" si="63"/>
        <v>HarvardCrimson</v>
      </c>
      <c r="H512" t="str">
        <f t="shared" si="64"/>
        <v>C90016</v>
      </c>
      <c r="I512" t="str">
        <f t="shared" si="65"/>
        <v>C9</v>
      </c>
      <c r="J512" t="str">
        <f t="shared" si="66"/>
        <v>00</v>
      </c>
      <c r="K512" t="str">
        <f t="shared" si="67"/>
        <v>16</v>
      </c>
      <c r="L512">
        <f t="shared" si="68"/>
        <v>201</v>
      </c>
      <c r="M512">
        <f t="shared" si="69"/>
        <v>0</v>
      </c>
      <c r="N512">
        <f t="shared" si="70"/>
        <v>22</v>
      </c>
      <c r="P512" t="str">
        <f t="shared" si="71"/>
        <v>.HarvardCrimson-bg{background-color:#C90016;}</v>
      </c>
    </row>
    <row r="513" spans="2:16" ht="15.75">
      <c r="B513" s="1" t="s">
        <v>1188</v>
      </c>
      <c r="C513" t="s">
        <v>1189</v>
      </c>
      <c r="D513">
        <v>21675</v>
      </c>
      <c r="E513">
        <v>14535</v>
      </c>
      <c r="F513">
        <v>21675</v>
      </c>
      <c r="G513" t="str">
        <f t="shared" si="63"/>
        <v>HarvestGold</v>
      </c>
      <c r="H513" t="str">
        <f t="shared" si="64"/>
        <v>DA9100</v>
      </c>
      <c r="I513" t="str">
        <f t="shared" si="65"/>
        <v>DA</v>
      </c>
      <c r="J513" t="str">
        <f t="shared" si="66"/>
        <v>91</v>
      </c>
      <c r="K513" t="str">
        <f t="shared" si="67"/>
        <v>00</v>
      </c>
      <c r="L513">
        <f t="shared" si="68"/>
        <v>218</v>
      </c>
      <c r="M513">
        <f t="shared" si="69"/>
        <v>145</v>
      </c>
      <c r="N513">
        <f t="shared" si="70"/>
        <v>0</v>
      </c>
      <c r="P513" t="str">
        <f t="shared" si="71"/>
        <v>.HarvestGold-bg{background-color:#DA9100;}</v>
      </c>
    </row>
    <row r="514" spans="2:16" ht="15.75">
      <c r="B514" s="1" t="s">
        <v>1190</v>
      </c>
      <c r="C514" t="s">
        <v>1191</v>
      </c>
      <c r="D514">
        <v>12750</v>
      </c>
      <c r="E514">
        <v>12750</v>
      </c>
      <c r="F514">
        <v>12750</v>
      </c>
      <c r="G514" t="str">
        <f t="shared" si="63"/>
        <v>HeartGold</v>
      </c>
      <c r="H514" t="str">
        <f t="shared" si="64"/>
        <v>808000</v>
      </c>
      <c r="I514" t="str">
        <f t="shared" si="65"/>
        <v>80</v>
      </c>
      <c r="J514" t="str">
        <f t="shared" si="66"/>
        <v>80</v>
      </c>
      <c r="K514" t="str">
        <f t="shared" si="67"/>
        <v>00</v>
      </c>
      <c r="L514">
        <f t="shared" si="68"/>
        <v>128</v>
      </c>
      <c r="M514">
        <f t="shared" si="69"/>
        <v>128</v>
      </c>
      <c r="N514">
        <f t="shared" si="70"/>
        <v>0</v>
      </c>
      <c r="P514" t="str">
        <f t="shared" si="71"/>
        <v>.HeartGold-bg{background-color:#808000;}</v>
      </c>
    </row>
    <row r="515" spans="2:16" ht="15.75">
      <c r="B515" s="1" t="s">
        <v>1192</v>
      </c>
      <c r="C515" t="s">
        <v>1193</v>
      </c>
      <c r="D515">
        <v>25500</v>
      </c>
      <c r="E515">
        <v>12240</v>
      </c>
      <c r="F515">
        <v>25500</v>
      </c>
      <c r="G515" t="str">
        <f t="shared" si="63"/>
        <v>HeatWave</v>
      </c>
      <c r="H515" t="str">
        <f t="shared" si="64"/>
        <v>FF7A00</v>
      </c>
      <c r="I515" t="str">
        <f t="shared" si="65"/>
        <v>FF</v>
      </c>
      <c r="J515" t="str">
        <f t="shared" si="66"/>
        <v>7A</v>
      </c>
      <c r="K515" t="str">
        <f t="shared" si="67"/>
        <v>00</v>
      </c>
      <c r="L515">
        <f t="shared" si="68"/>
        <v>255</v>
      </c>
      <c r="M515">
        <f t="shared" si="69"/>
        <v>122</v>
      </c>
      <c r="N515">
        <f t="shared" si="70"/>
        <v>0</v>
      </c>
      <c r="P515" t="str">
        <f t="shared" si="71"/>
        <v>.HeatWave-bg{background-color:#FF7A00;}</v>
      </c>
    </row>
    <row r="516" spans="2:16" ht="15.75">
      <c r="B516" s="1" t="s">
        <v>1194</v>
      </c>
      <c r="C516" t="s">
        <v>1195</v>
      </c>
      <c r="D516">
        <v>22185</v>
      </c>
      <c r="E516">
        <v>11475</v>
      </c>
      <c r="F516">
        <v>22185</v>
      </c>
      <c r="G516" t="str">
        <f t="shared" ref="G516:G579" si="72">SUBSTITUTE(PROPER(AlphaNumericOnly(B516))," ","")</f>
        <v>Heliotrope</v>
      </c>
      <c r="H516" t="str">
        <f t="shared" ref="H516:H579" si="73">RIGHT(C516,6)</f>
        <v>DF73FF</v>
      </c>
      <c r="I516" t="str">
        <f t="shared" ref="I516:I579" si="74">MID($H516,1,2)</f>
        <v>DF</v>
      </c>
      <c r="J516" t="str">
        <f t="shared" ref="J516:J579" si="75">MID($H516,3,2)</f>
        <v>73</v>
      </c>
      <c r="K516" t="str">
        <f t="shared" ref="K516:K579" si="76">MID($H516,5,2)</f>
        <v>FF</v>
      </c>
      <c r="L516">
        <f t="shared" ref="L516:L579" si="77">HEX2DEC(I516)</f>
        <v>223</v>
      </c>
      <c r="M516">
        <f t="shared" ref="M516:M579" si="78">HEX2DEC(J516)</f>
        <v>115</v>
      </c>
      <c r="N516">
        <f t="shared" ref="N516:N579" si="79">HEX2DEC(K516)</f>
        <v>255</v>
      </c>
      <c r="P516" t="str">
        <f t="shared" ref="P516:P579" si="80">"."&amp;G516&amp;$P$1&amp;"{"&amp;$P$2&amp;":#"&amp;H516&amp;";}"</f>
        <v>.Heliotrope-bg{background-color:#DF73FF;}</v>
      </c>
    </row>
    <row r="517" spans="2:16" ht="15.75">
      <c r="B517" s="1" t="s">
        <v>1196</v>
      </c>
      <c r="C517" t="s">
        <v>1197</v>
      </c>
      <c r="D517">
        <v>17085</v>
      </c>
      <c r="E517">
        <v>15300</v>
      </c>
      <c r="F517">
        <v>17085</v>
      </c>
      <c r="G517" t="str">
        <f t="shared" si="72"/>
        <v>HeliotropeGray</v>
      </c>
      <c r="H517" t="str">
        <f t="shared" si="73"/>
        <v>AA98A9</v>
      </c>
      <c r="I517" t="str">
        <f t="shared" si="74"/>
        <v>AA</v>
      </c>
      <c r="J517" t="str">
        <f t="shared" si="75"/>
        <v>98</v>
      </c>
      <c r="K517" t="str">
        <f t="shared" si="76"/>
        <v>A9</v>
      </c>
      <c r="L517">
        <f t="shared" si="77"/>
        <v>170</v>
      </c>
      <c r="M517">
        <f t="shared" si="78"/>
        <v>152</v>
      </c>
      <c r="N517">
        <f t="shared" si="79"/>
        <v>169</v>
      </c>
      <c r="P517" t="str">
        <f t="shared" si="80"/>
        <v>.HeliotropeGray-bg{background-color:#AA98A9;}</v>
      </c>
    </row>
    <row r="518" spans="2:16" ht="15.75">
      <c r="B518" s="1" t="s">
        <v>1198</v>
      </c>
      <c r="C518" t="s">
        <v>1199</v>
      </c>
      <c r="D518">
        <v>17085</v>
      </c>
      <c r="E518">
        <v>0</v>
      </c>
      <c r="F518">
        <v>17085</v>
      </c>
      <c r="G518" t="str">
        <f t="shared" si="72"/>
        <v>HeliotropeMagenta</v>
      </c>
      <c r="H518" t="str">
        <f t="shared" si="73"/>
        <v>AA00BB</v>
      </c>
      <c r="I518" t="str">
        <f t="shared" si="74"/>
        <v>AA</v>
      </c>
      <c r="J518" t="str">
        <f t="shared" si="75"/>
        <v>00</v>
      </c>
      <c r="K518" t="str">
        <f t="shared" si="76"/>
        <v>BB</v>
      </c>
      <c r="L518">
        <f t="shared" si="77"/>
        <v>170</v>
      </c>
      <c r="M518">
        <f t="shared" si="78"/>
        <v>0</v>
      </c>
      <c r="N518">
        <f t="shared" si="79"/>
        <v>187</v>
      </c>
      <c r="P518" t="str">
        <f t="shared" si="80"/>
        <v>.HeliotropeMagenta-bg{background-color:#AA00BB;}</v>
      </c>
    </row>
    <row r="519" spans="2:16" ht="15.75">
      <c r="B519" s="1" t="s">
        <v>1200</v>
      </c>
      <c r="C519" t="s">
        <v>1003</v>
      </c>
      <c r="D519">
        <v>24480</v>
      </c>
      <c r="E519">
        <v>0</v>
      </c>
      <c r="F519">
        <v>24480</v>
      </c>
      <c r="G519" t="str">
        <f t="shared" si="72"/>
        <v>HollywoodCerise</v>
      </c>
      <c r="H519" t="str">
        <f t="shared" si="73"/>
        <v>F400A1</v>
      </c>
      <c r="I519" t="str">
        <f t="shared" si="74"/>
        <v>F4</v>
      </c>
      <c r="J519" t="str">
        <f t="shared" si="75"/>
        <v>00</v>
      </c>
      <c r="K519" t="str">
        <f t="shared" si="76"/>
        <v>A1</v>
      </c>
      <c r="L519">
        <f t="shared" si="77"/>
        <v>244</v>
      </c>
      <c r="M519">
        <f t="shared" si="78"/>
        <v>0</v>
      </c>
      <c r="N519">
        <f t="shared" si="79"/>
        <v>161</v>
      </c>
      <c r="P519" t="str">
        <f t="shared" si="80"/>
        <v>.HollywoodCerise-bg{background-color:#F400A1;}</v>
      </c>
    </row>
    <row r="520" spans="2:16" ht="15.75">
      <c r="B520" s="1" t="s">
        <v>1201</v>
      </c>
      <c r="C520" t="s">
        <v>1202</v>
      </c>
      <c r="D520">
        <v>23970</v>
      </c>
      <c r="E520">
        <v>25500</v>
      </c>
      <c r="F520">
        <v>23970</v>
      </c>
      <c r="G520" t="str">
        <f t="shared" si="72"/>
        <v>Honeydew</v>
      </c>
      <c r="H520" t="str">
        <f t="shared" si="73"/>
        <v>F0FFF0</v>
      </c>
      <c r="I520" t="str">
        <f t="shared" si="74"/>
        <v>F0</v>
      </c>
      <c r="J520" t="str">
        <f t="shared" si="75"/>
        <v>FF</v>
      </c>
      <c r="K520" t="str">
        <f t="shared" si="76"/>
        <v>F0</v>
      </c>
      <c r="L520">
        <f t="shared" si="77"/>
        <v>240</v>
      </c>
      <c r="M520">
        <f t="shared" si="78"/>
        <v>255</v>
      </c>
      <c r="N520">
        <f t="shared" si="79"/>
        <v>240</v>
      </c>
      <c r="P520" t="str">
        <f t="shared" si="80"/>
        <v>.Honeydew-bg{background-color:#F0FFF0;}</v>
      </c>
    </row>
    <row r="521" spans="2:16" ht="15.75">
      <c r="B521" s="1" t="s">
        <v>1203</v>
      </c>
      <c r="C521" t="s">
        <v>1204</v>
      </c>
      <c r="D521">
        <v>0</v>
      </c>
      <c r="E521">
        <v>10965</v>
      </c>
      <c r="F521">
        <v>0</v>
      </c>
      <c r="G521" t="str">
        <f t="shared" si="72"/>
        <v>HonoluluBlue</v>
      </c>
      <c r="H521" t="str">
        <f t="shared" si="73"/>
        <v>006DB0</v>
      </c>
      <c r="I521" t="str">
        <f t="shared" si="74"/>
        <v>00</v>
      </c>
      <c r="J521" t="str">
        <f t="shared" si="75"/>
        <v>6D</v>
      </c>
      <c r="K521" t="str">
        <f t="shared" si="76"/>
        <v>B0</v>
      </c>
      <c r="L521">
        <f t="shared" si="77"/>
        <v>0</v>
      </c>
      <c r="M521">
        <f t="shared" si="78"/>
        <v>109</v>
      </c>
      <c r="N521">
        <f t="shared" si="79"/>
        <v>176</v>
      </c>
      <c r="P521" t="str">
        <f t="shared" si="80"/>
        <v>.HonoluluBlue-bg{background-color:#006DB0;}</v>
      </c>
    </row>
    <row r="522" spans="2:16" ht="15.75">
      <c r="B522" s="1" t="s">
        <v>1205</v>
      </c>
      <c r="C522" t="s">
        <v>1206</v>
      </c>
      <c r="D522">
        <v>7395</v>
      </c>
      <c r="E522">
        <v>11985</v>
      </c>
      <c r="F522">
        <v>7395</v>
      </c>
      <c r="G522" t="str">
        <f t="shared" si="72"/>
        <v>HookersGreen</v>
      </c>
      <c r="H522" t="str">
        <f t="shared" si="73"/>
        <v>49796B</v>
      </c>
      <c r="I522" t="str">
        <f t="shared" si="74"/>
        <v>49</v>
      </c>
      <c r="J522" t="str">
        <f t="shared" si="75"/>
        <v>79</v>
      </c>
      <c r="K522" t="str">
        <f t="shared" si="76"/>
        <v>6B</v>
      </c>
      <c r="L522">
        <f t="shared" si="77"/>
        <v>73</v>
      </c>
      <c r="M522">
        <f t="shared" si="78"/>
        <v>121</v>
      </c>
      <c r="N522">
        <f t="shared" si="79"/>
        <v>107</v>
      </c>
      <c r="P522" t="str">
        <f t="shared" si="80"/>
        <v>.HookersGreen-bg{background-color:#49796B;}</v>
      </c>
    </row>
    <row r="523" spans="2:16" ht="15.75">
      <c r="B523" s="1" t="s">
        <v>1207</v>
      </c>
      <c r="C523" t="s">
        <v>1208</v>
      </c>
      <c r="D523">
        <v>25500</v>
      </c>
      <c r="E523">
        <v>2805</v>
      </c>
      <c r="F523">
        <v>25500</v>
      </c>
      <c r="G523" t="str">
        <f t="shared" si="72"/>
        <v>HotMagenta</v>
      </c>
      <c r="H523" t="str">
        <f t="shared" si="73"/>
        <v>FF1DCE</v>
      </c>
      <c r="I523" t="str">
        <f t="shared" si="74"/>
        <v>FF</v>
      </c>
      <c r="J523" t="str">
        <f t="shared" si="75"/>
        <v>1D</v>
      </c>
      <c r="K523" t="str">
        <f t="shared" si="76"/>
        <v>CE</v>
      </c>
      <c r="L523">
        <f t="shared" si="77"/>
        <v>255</v>
      </c>
      <c r="M523">
        <f t="shared" si="78"/>
        <v>29</v>
      </c>
      <c r="N523">
        <f t="shared" si="79"/>
        <v>206</v>
      </c>
      <c r="P523" t="str">
        <f t="shared" si="80"/>
        <v>.HotMagenta-bg{background-color:#FF1DCE;}</v>
      </c>
    </row>
    <row r="524" spans="2:16" ht="15.75">
      <c r="B524" s="1" t="s">
        <v>1209</v>
      </c>
      <c r="C524" t="s">
        <v>1210</v>
      </c>
      <c r="D524">
        <v>25500</v>
      </c>
      <c r="E524">
        <v>10455</v>
      </c>
      <c r="F524">
        <v>25500</v>
      </c>
      <c r="G524" t="str">
        <f t="shared" si="72"/>
        <v>HotPink</v>
      </c>
      <c r="H524" t="str">
        <f t="shared" si="73"/>
        <v>FF69B4</v>
      </c>
      <c r="I524" t="str">
        <f t="shared" si="74"/>
        <v>FF</v>
      </c>
      <c r="J524" t="str">
        <f t="shared" si="75"/>
        <v>69</v>
      </c>
      <c r="K524" t="str">
        <f t="shared" si="76"/>
        <v>B4</v>
      </c>
      <c r="L524">
        <f t="shared" si="77"/>
        <v>255</v>
      </c>
      <c r="M524">
        <f t="shared" si="78"/>
        <v>105</v>
      </c>
      <c r="N524">
        <f t="shared" si="79"/>
        <v>180</v>
      </c>
      <c r="P524" t="str">
        <f t="shared" si="80"/>
        <v>.HotPink-bg{background-color:#FF69B4;}</v>
      </c>
    </row>
    <row r="525" spans="2:16" ht="15.75">
      <c r="B525" s="1" t="s">
        <v>1211</v>
      </c>
      <c r="C525" t="s">
        <v>885</v>
      </c>
      <c r="D525">
        <v>5355</v>
      </c>
      <c r="E525">
        <v>9435</v>
      </c>
      <c r="F525">
        <v>5355</v>
      </c>
      <c r="G525" t="str">
        <f t="shared" si="72"/>
        <v>HunterGreen</v>
      </c>
      <c r="H525" t="str">
        <f t="shared" si="73"/>
        <v>355E3B</v>
      </c>
      <c r="I525" t="str">
        <f t="shared" si="74"/>
        <v>35</v>
      </c>
      <c r="J525" t="str">
        <f t="shared" si="75"/>
        <v>5E</v>
      </c>
      <c r="K525" t="str">
        <f t="shared" si="76"/>
        <v>3B</v>
      </c>
      <c r="L525">
        <f t="shared" si="77"/>
        <v>53</v>
      </c>
      <c r="M525">
        <f t="shared" si="78"/>
        <v>94</v>
      </c>
      <c r="N525">
        <f t="shared" si="79"/>
        <v>59</v>
      </c>
      <c r="P525" t="str">
        <f t="shared" si="80"/>
        <v>.HunterGreen-bg{background-color:#355E3B;}</v>
      </c>
    </row>
    <row r="526" spans="2:16" ht="15.75">
      <c r="B526" s="1" t="s">
        <v>1212</v>
      </c>
      <c r="C526" t="s">
        <v>1213</v>
      </c>
      <c r="D526">
        <v>11220</v>
      </c>
      <c r="E526">
        <v>16575</v>
      </c>
      <c r="F526">
        <v>11220</v>
      </c>
      <c r="G526" t="str">
        <f t="shared" si="72"/>
        <v>Iceberg</v>
      </c>
      <c r="H526" t="str">
        <f t="shared" si="73"/>
        <v>71A6D2</v>
      </c>
      <c r="I526" t="str">
        <f t="shared" si="74"/>
        <v>71</v>
      </c>
      <c r="J526" t="str">
        <f t="shared" si="75"/>
        <v>A6</v>
      </c>
      <c r="K526" t="str">
        <f t="shared" si="76"/>
        <v>D2</v>
      </c>
      <c r="L526">
        <f t="shared" si="77"/>
        <v>113</v>
      </c>
      <c r="M526">
        <f t="shared" si="78"/>
        <v>166</v>
      </c>
      <c r="N526">
        <f t="shared" si="79"/>
        <v>210</v>
      </c>
      <c r="P526" t="str">
        <f t="shared" si="80"/>
        <v>.Iceberg-bg{background-color:#71A6D2;}</v>
      </c>
    </row>
    <row r="527" spans="2:16" ht="15.75">
      <c r="B527" s="1" t="s">
        <v>1214</v>
      </c>
      <c r="C527" t="s">
        <v>1215</v>
      </c>
      <c r="D527">
        <v>25245</v>
      </c>
      <c r="E527">
        <v>24735</v>
      </c>
      <c r="F527">
        <v>25245</v>
      </c>
      <c r="G527" t="str">
        <f t="shared" si="72"/>
        <v>Icterine</v>
      </c>
      <c r="H527" t="str">
        <f t="shared" si="73"/>
        <v>FCF75E</v>
      </c>
      <c r="I527" t="str">
        <f t="shared" si="74"/>
        <v>FC</v>
      </c>
      <c r="J527" t="str">
        <f t="shared" si="75"/>
        <v>F7</v>
      </c>
      <c r="K527" t="str">
        <f t="shared" si="76"/>
        <v>5E</v>
      </c>
      <c r="L527">
        <f t="shared" si="77"/>
        <v>252</v>
      </c>
      <c r="M527">
        <f t="shared" si="78"/>
        <v>247</v>
      </c>
      <c r="N527">
        <f t="shared" si="79"/>
        <v>94</v>
      </c>
      <c r="P527" t="str">
        <f t="shared" si="80"/>
        <v>.Icterine-bg{background-color:#FCF75E;}</v>
      </c>
    </row>
    <row r="528" spans="2:16" ht="15.75">
      <c r="B528" s="1" t="s">
        <v>1216</v>
      </c>
      <c r="C528" t="s">
        <v>1217</v>
      </c>
      <c r="D528">
        <v>4845</v>
      </c>
      <c r="E528">
        <v>14535</v>
      </c>
      <c r="F528">
        <v>4845</v>
      </c>
      <c r="G528" t="str">
        <f t="shared" si="72"/>
        <v>IlluminatingEmerald</v>
      </c>
      <c r="H528" t="str">
        <f t="shared" si="73"/>
        <v>319177</v>
      </c>
      <c r="I528" t="str">
        <f t="shared" si="74"/>
        <v>31</v>
      </c>
      <c r="J528" t="str">
        <f t="shared" si="75"/>
        <v>91</v>
      </c>
      <c r="K528" t="str">
        <f t="shared" si="76"/>
        <v>77</v>
      </c>
      <c r="L528">
        <f t="shared" si="77"/>
        <v>49</v>
      </c>
      <c r="M528">
        <f t="shared" si="78"/>
        <v>145</v>
      </c>
      <c r="N528">
        <f t="shared" si="79"/>
        <v>119</v>
      </c>
      <c r="P528" t="str">
        <f t="shared" si="80"/>
        <v>.IlluminatingEmerald-bg{background-color:#319177;}</v>
      </c>
    </row>
    <row r="529" spans="2:16" ht="15.75">
      <c r="B529" s="1" t="s">
        <v>1218</v>
      </c>
      <c r="C529" t="s">
        <v>1219</v>
      </c>
      <c r="D529">
        <v>9690</v>
      </c>
      <c r="E529">
        <v>4590</v>
      </c>
      <c r="F529">
        <v>9690</v>
      </c>
      <c r="G529" t="str">
        <f t="shared" si="72"/>
        <v>Imperial</v>
      </c>
      <c r="H529" t="str">
        <f t="shared" si="73"/>
        <v>602F6B</v>
      </c>
      <c r="I529" t="str">
        <f t="shared" si="74"/>
        <v>60</v>
      </c>
      <c r="J529" t="str">
        <f t="shared" si="75"/>
        <v>2F</v>
      </c>
      <c r="K529" t="str">
        <f t="shared" si="76"/>
        <v>6B</v>
      </c>
      <c r="L529">
        <f t="shared" si="77"/>
        <v>96</v>
      </c>
      <c r="M529">
        <f t="shared" si="78"/>
        <v>47</v>
      </c>
      <c r="N529">
        <f t="shared" si="79"/>
        <v>107</v>
      </c>
      <c r="P529" t="str">
        <f t="shared" si="80"/>
        <v>.Imperial-bg{background-color:#602F6B;}</v>
      </c>
    </row>
    <row r="530" spans="2:16" ht="15.75">
      <c r="B530" s="1" t="s">
        <v>1220</v>
      </c>
      <c r="C530" t="s">
        <v>1221</v>
      </c>
      <c r="D530">
        <v>0</v>
      </c>
      <c r="E530">
        <v>3570</v>
      </c>
      <c r="F530">
        <v>0</v>
      </c>
      <c r="G530" t="str">
        <f t="shared" si="72"/>
        <v>ImperialBlue</v>
      </c>
      <c r="H530" t="str">
        <f t="shared" si="73"/>
        <v>002395</v>
      </c>
      <c r="I530" t="str">
        <f t="shared" si="74"/>
        <v>00</v>
      </c>
      <c r="J530" t="str">
        <f t="shared" si="75"/>
        <v>23</v>
      </c>
      <c r="K530" t="str">
        <f t="shared" si="76"/>
        <v>95</v>
      </c>
      <c r="L530">
        <f t="shared" si="77"/>
        <v>0</v>
      </c>
      <c r="M530">
        <f t="shared" si="78"/>
        <v>35</v>
      </c>
      <c r="N530">
        <f t="shared" si="79"/>
        <v>149</v>
      </c>
      <c r="P530" t="str">
        <f t="shared" si="80"/>
        <v>.ImperialBlue-bg{background-color:#002395;}</v>
      </c>
    </row>
    <row r="531" spans="2:16" ht="15.75">
      <c r="B531" s="1" t="s">
        <v>1222</v>
      </c>
      <c r="C531" t="s">
        <v>1223</v>
      </c>
      <c r="D531">
        <v>10200</v>
      </c>
      <c r="E531">
        <v>255</v>
      </c>
      <c r="F531">
        <v>10200</v>
      </c>
      <c r="G531" t="str">
        <f t="shared" si="72"/>
        <v>ImperialPurple</v>
      </c>
      <c r="H531" t="str">
        <f t="shared" si="73"/>
        <v>66023C</v>
      </c>
      <c r="I531" t="str">
        <f t="shared" si="74"/>
        <v>66</v>
      </c>
      <c r="J531" t="str">
        <f t="shared" si="75"/>
        <v>02</v>
      </c>
      <c r="K531" t="str">
        <f t="shared" si="76"/>
        <v>3C</v>
      </c>
      <c r="L531">
        <f t="shared" si="77"/>
        <v>102</v>
      </c>
      <c r="M531">
        <f t="shared" si="78"/>
        <v>2</v>
      </c>
      <c r="N531">
        <f t="shared" si="79"/>
        <v>60</v>
      </c>
      <c r="P531" t="str">
        <f t="shared" si="80"/>
        <v>.ImperialPurple-bg{background-color:#66023C;}</v>
      </c>
    </row>
    <row r="532" spans="2:16" ht="15.75">
      <c r="B532" s="1" t="s">
        <v>1224</v>
      </c>
      <c r="C532" t="s">
        <v>1225</v>
      </c>
      <c r="D532">
        <v>23715</v>
      </c>
      <c r="E532">
        <v>4080</v>
      </c>
      <c r="F532">
        <v>23715</v>
      </c>
      <c r="G532" t="str">
        <f t="shared" si="72"/>
        <v>ImperialRed</v>
      </c>
      <c r="H532" t="str">
        <f t="shared" si="73"/>
        <v>ED2939</v>
      </c>
      <c r="I532" t="str">
        <f t="shared" si="74"/>
        <v>ED</v>
      </c>
      <c r="J532" t="str">
        <f t="shared" si="75"/>
        <v>29</v>
      </c>
      <c r="K532" t="str">
        <f t="shared" si="76"/>
        <v>39</v>
      </c>
      <c r="L532">
        <f t="shared" si="77"/>
        <v>237</v>
      </c>
      <c r="M532">
        <f t="shared" si="78"/>
        <v>41</v>
      </c>
      <c r="N532">
        <f t="shared" si="79"/>
        <v>57</v>
      </c>
      <c r="P532" t="str">
        <f t="shared" si="80"/>
        <v>.ImperialRed-bg{background-color:#ED2939;}</v>
      </c>
    </row>
    <row r="533" spans="2:16" ht="15.75">
      <c r="B533" s="1" t="s">
        <v>1226</v>
      </c>
      <c r="C533" t="s">
        <v>1227</v>
      </c>
      <c r="D533">
        <v>17850</v>
      </c>
      <c r="E533">
        <v>23715</v>
      </c>
      <c r="F533">
        <v>17850</v>
      </c>
      <c r="G533" t="str">
        <f t="shared" si="72"/>
        <v>Inchworm</v>
      </c>
      <c r="H533" t="str">
        <f t="shared" si="73"/>
        <v>B2EC5D</v>
      </c>
      <c r="I533" t="str">
        <f t="shared" si="74"/>
        <v>B2</v>
      </c>
      <c r="J533" t="str">
        <f t="shared" si="75"/>
        <v>EC</v>
      </c>
      <c r="K533" t="str">
        <f t="shared" si="76"/>
        <v>5D</v>
      </c>
      <c r="L533">
        <f t="shared" si="77"/>
        <v>178</v>
      </c>
      <c r="M533">
        <f t="shared" si="78"/>
        <v>236</v>
      </c>
      <c r="N533">
        <f t="shared" si="79"/>
        <v>93</v>
      </c>
      <c r="P533" t="str">
        <f t="shared" si="80"/>
        <v>.Inchworm-bg{background-color:#B2EC5D;}</v>
      </c>
    </row>
    <row r="534" spans="2:16" ht="15.75">
      <c r="B534" s="1" t="s">
        <v>1228</v>
      </c>
      <c r="C534" t="s">
        <v>1229</v>
      </c>
      <c r="D534">
        <v>7650</v>
      </c>
      <c r="E534">
        <v>8160</v>
      </c>
      <c r="F534">
        <v>7650</v>
      </c>
      <c r="G534" t="str">
        <f t="shared" si="72"/>
        <v>Independence</v>
      </c>
      <c r="H534" t="str">
        <f t="shared" si="73"/>
        <v>4C516D</v>
      </c>
      <c r="I534" t="str">
        <f t="shared" si="74"/>
        <v>4C</v>
      </c>
      <c r="J534" t="str">
        <f t="shared" si="75"/>
        <v>51</v>
      </c>
      <c r="K534" t="str">
        <f t="shared" si="76"/>
        <v>6D</v>
      </c>
      <c r="L534">
        <f t="shared" si="77"/>
        <v>76</v>
      </c>
      <c r="M534">
        <f t="shared" si="78"/>
        <v>81</v>
      </c>
      <c r="N534">
        <f t="shared" si="79"/>
        <v>109</v>
      </c>
      <c r="P534" t="str">
        <f t="shared" si="80"/>
        <v>.Independence-bg{background-color:#4C516D;}</v>
      </c>
    </row>
    <row r="535" spans="2:16" ht="15.75">
      <c r="B535" s="1" t="s">
        <v>1230</v>
      </c>
      <c r="C535" t="s">
        <v>1231</v>
      </c>
      <c r="D535">
        <v>1785</v>
      </c>
      <c r="E535">
        <v>13515</v>
      </c>
      <c r="F535">
        <v>1785</v>
      </c>
      <c r="G535" t="str">
        <f t="shared" si="72"/>
        <v>IndiaGreen</v>
      </c>
      <c r="H535" t="str">
        <f t="shared" si="73"/>
        <v>138808</v>
      </c>
      <c r="I535" t="str">
        <f t="shared" si="74"/>
        <v>13</v>
      </c>
      <c r="J535" t="str">
        <f t="shared" si="75"/>
        <v>88</v>
      </c>
      <c r="K535" t="str">
        <f t="shared" si="76"/>
        <v>08</v>
      </c>
      <c r="L535">
        <f t="shared" si="77"/>
        <v>19</v>
      </c>
      <c r="M535">
        <f t="shared" si="78"/>
        <v>136</v>
      </c>
      <c r="N535">
        <f t="shared" si="79"/>
        <v>8</v>
      </c>
      <c r="P535" t="str">
        <f t="shared" si="80"/>
        <v>.IndiaGreen-bg{background-color:#138808;}</v>
      </c>
    </row>
    <row r="536" spans="2:16" ht="15.75">
      <c r="B536" s="1" t="s">
        <v>1232</v>
      </c>
      <c r="C536" t="s">
        <v>1233</v>
      </c>
      <c r="D536">
        <v>20400</v>
      </c>
      <c r="E536">
        <v>9180</v>
      </c>
      <c r="F536">
        <v>20400</v>
      </c>
      <c r="G536" t="str">
        <f t="shared" si="72"/>
        <v>IndianRed</v>
      </c>
      <c r="H536" t="str">
        <f t="shared" si="73"/>
        <v>CD5C5C</v>
      </c>
      <c r="I536" t="str">
        <f t="shared" si="74"/>
        <v>CD</v>
      </c>
      <c r="J536" t="str">
        <f t="shared" si="75"/>
        <v>5C</v>
      </c>
      <c r="K536" t="str">
        <f t="shared" si="76"/>
        <v>5C</v>
      </c>
      <c r="L536">
        <f t="shared" si="77"/>
        <v>205</v>
      </c>
      <c r="M536">
        <f t="shared" si="78"/>
        <v>92</v>
      </c>
      <c r="N536">
        <f t="shared" si="79"/>
        <v>92</v>
      </c>
      <c r="P536" t="str">
        <f t="shared" si="80"/>
        <v>.IndianRed-bg{background-color:#CD5C5C;}</v>
      </c>
    </row>
    <row r="537" spans="2:16" ht="15.75">
      <c r="B537" s="1" t="s">
        <v>1234</v>
      </c>
      <c r="C537" t="s">
        <v>1235</v>
      </c>
      <c r="D537">
        <v>22695</v>
      </c>
      <c r="E537">
        <v>16830</v>
      </c>
      <c r="F537">
        <v>22695</v>
      </c>
      <c r="G537" t="str">
        <f t="shared" si="72"/>
        <v>IndianYellow</v>
      </c>
      <c r="H537" t="str">
        <f t="shared" si="73"/>
        <v>E3A857</v>
      </c>
      <c r="I537" t="str">
        <f t="shared" si="74"/>
        <v>E3</v>
      </c>
      <c r="J537" t="str">
        <f t="shared" si="75"/>
        <v>A8</v>
      </c>
      <c r="K537" t="str">
        <f t="shared" si="76"/>
        <v>57</v>
      </c>
      <c r="L537">
        <f t="shared" si="77"/>
        <v>227</v>
      </c>
      <c r="M537">
        <f t="shared" si="78"/>
        <v>168</v>
      </c>
      <c r="N537">
        <f t="shared" si="79"/>
        <v>87</v>
      </c>
      <c r="P537" t="str">
        <f t="shared" si="80"/>
        <v>.IndianYellow-bg{background-color:#E3A857;}</v>
      </c>
    </row>
    <row r="538" spans="2:16" ht="15.75">
      <c r="B538" s="1" t="s">
        <v>1236</v>
      </c>
      <c r="C538" t="s">
        <v>1237</v>
      </c>
      <c r="D538">
        <v>7395</v>
      </c>
      <c r="E538">
        <v>0</v>
      </c>
      <c r="F538">
        <v>7395</v>
      </c>
      <c r="G538" t="str">
        <f t="shared" si="72"/>
        <v>Indigo</v>
      </c>
      <c r="H538" t="str">
        <f t="shared" si="73"/>
        <v>4B0082</v>
      </c>
      <c r="I538" t="str">
        <f t="shared" si="74"/>
        <v>4B</v>
      </c>
      <c r="J538" t="str">
        <f t="shared" si="75"/>
        <v>00</v>
      </c>
      <c r="K538" t="str">
        <f t="shared" si="76"/>
        <v>82</v>
      </c>
      <c r="L538">
        <f t="shared" si="77"/>
        <v>75</v>
      </c>
      <c r="M538">
        <f t="shared" si="78"/>
        <v>0</v>
      </c>
      <c r="N538">
        <f t="shared" si="79"/>
        <v>130</v>
      </c>
      <c r="P538" t="str">
        <f t="shared" si="80"/>
        <v>.Indigo-bg{background-color:#4B0082;}</v>
      </c>
    </row>
    <row r="539" spans="2:16" ht="15.75">
      <c r="B539" s="1" t="s">
        <v>1238</v>
      </c>
      <c r="C539" t="s">
        <v>1239</v>
      </c>
      <c r="D539">
        <v>1020</v>
      </c>
      <c r="E539">
        <v>3060</v>
      </c>
      <c r="F539">
        <v>1020</v>
      </c>
      <c r="G539" t="str">
        <f t="shared" si="72"/>
        <v>IndigoDye</v>
      </c>
      <c r="H539" t="str">
        <f t="shared" si="73"/>
        <v>091F92</v>
      </c>
      <c r="I539" t="str">
        <f t="shared" si="74"/>
        <v>09</v>
      </c>
      <c r="J539" t="str">
        <f t="shared" si="75"/>
        <v>1F</v>
      </c>
      <c r="K539" t="str">
        <f t="shared" si="76"/>
        <v>92</v>
      </c>
      <c r="L539">
        <f t="shared" si="77"/>
        <v>9</v>
      </c>
      <c r="M539">
        <f t="shared" si="78"/>
        <v>31</v>
      </c>
      <c r="N539">
        <f t="shared" si="79"/>
        <v>146</v>
      </c>
      <c r="P539" t="str">
        <f t="shared" si="80"/>
        <v>.IndigoDye-bg{background-color:#091F92;}</v>
      </c>
    </row>
    <row r="540" spans="2:16" ht="15.75">
      <c r="B540" s="1" t="s">
        <v>1240</v>
      </c>
      <c r="C540" t="s">
        <v>1237</v>
      </c>
      <c r="D540">
        <v>7395</v>
      </c>
      <c r="E540">
        <v>0</v>
      </c>
      <c r="F540">
        <v>7395</v>
      </c>
      <c r="G540" t="str">
        <f t="shared" si="72"/>
        <v>IndigoWeb</v>
      </c>
      <c r="H540" t="str">
        <f t="shared" si="73"/>
        <v>4B0082</v>
      </c>
      <c r="I540" t="str">
        <f t="shared" si="74"/>
        <v>4B</v>
      </c>
      <c r="J540" t="str">
        <f t="shared" si="75"/>
        <v>00</v>
      </c>
      <c r="K540" t="str">
        <f t="shared" si="76"/>
        <v>82</v>
      </c>
      <c r="L540">
        <f t="shared" si="77"/>
        <v>75</v>
      </c>
      <c r="M540">
        <f t="shared" si="78"/>
        <v>0</v>
      </c>
      <c r="N540">
        <f t="shared" si="79"/>
        <v>130</v>
      </c>
      <c r="P540" t="str">
        <f t="shared" si="80"/>
        <v>.IndigoWeb-bg{background-color:#4B0082;}</v>
      </c>
    </row>
    <row r="541" spans="2:16" ht="15.75">
      <c r="B541" s="1" t="s">
        <v>1241</v>
      </c>
      <c r="C541" t="s">
        <v>1242</v>
      </c>
      <c r="D541">
        <v>0</v>
      </c>
      <c r="E541">
        <v>4590</v>
      </c>
      <c r="F541">
        <v>0</v>
      </c>
      <c r="G541" t="str">
        <f t="shared" si="72"/>
        <v>InternationalKleinBlue</v>
      </c>
      <c r="H541" t="str">
        <f t="shared" si="73"/>
        <v>002FA7</v>
      </c>
      <c r="I541" t="str">
        <f t="shared" si="74"/>
        <v>00</v>
      </c>
      <c r="J541" t="str">
        <f t="shared" si="75"/>
        <v>2F</v>
      </c>
      <c r="K541" t="str">
        <f t="shared" si="76"/>
        <v>A7</v>
      </c>
      <c r="L541">
        <f t="shared" si="77"/>
        <v>0</v>
      </c>
      <c r="M541">
        <f t="shared" si="78"/>
        <v>47</v>
      </c>
      <c r="N541">
        <f t="shared" si="79"/>
        <v>167</v>
      </c>
      <c r="P541" t="str">
        <f t="shared" si="80"/>
        <v>.InternationalKleinBlue-bg{background-color:#002FA7;}</v>
      </c>
    </row>
    <row r="542" spans="2:16" ht="15.75">
      <c r="B542" s="1" t="s">
        <v>1243</v>
      </c>
      <c r="C542" t="s">
        <v>1244</v>
      </c>
      <c r="D542">
        <v>25500</v>
      </c>
      <c r="E542">
        <v>7905</v>
      </c>
      <c r="F542">
        <v>25500</v>
      </c>
      <c r="G542" t="str">
        <f t="shared" si="72"/>
        <v>InternationalOrangeAerospace</v>
      </c>
      <c r="H542" t="str">
        <f t="shared" si="73"/>
        <v>FF4F00</v>
      </c>
      <c r="I542" t="str">
        <f t="shared" si="74"/>
        <v>FF</v>
      </c>
      <c r="J542" t="str">
        <f t="shared" si="75"/>
        <v>4F</v>
      </c>
      <c r="K542" t="str">
        <f t="shared" si="76"/>
        <v>00</v>
      </c>
      <c r="L542">
        <f t="shared" si="77"/>
        <v>255</v>
      </c>
      <c r="M542">
        <f t="shared" si="78"/>
        <v>79</v>
      </c>
      <c r="N542">
        <f t="shared" si="79"/>
        <v>0</v>
      </c>
      <c r="P542" t="str">
        <f t="shared" si="80"/>
        <v>.InternationalOrangeAerospace-bg{background-color:#FF4F00;}</v>
      </c>
    </row>
    <row r="543" spans="2:16" ht="15.75">
      <c r="B543" s="1" t="s">
        <v>1245</v>
      </c>
      <c r="C543" t="s">
        <v>1246</v>
      </c>
      <c r="D543">
        <v>18615</v>
      </c>
      <c r="E543">
        <v>2295</v>
      </c>
      <c r="F543">
        <v>18615</v>
      </c>
      <c r="G543" t="str">
        <f t="shared" si="72"/>
        <v>InternationalOrangeEngineering</v>
      </c>
      <c r="H543" t="str">
        <f t="shared" si="73"/>
        <v>BA160C</v>
      </c>
      <c r="I543" t="str">
        <f t="shared" si="74"/>
        <v>BA</v>
      </c>
      <c r="J543" t="str">
        <f t="shared" si="75"/>
        <v>16</v>
      </c>
      <c r="K543" t="str">
        <f t="shared" si="76"/>
        <v>0C</v>
      </c>
      <c r="L543">
        <f t="shared" si="77"/>
        <v>186</v>
      </c>
      <c r="M543">
        <f t="shared" si="78"/>
        <v>22</v>
      </c>
      <c r="N543">
        <f t="shared" si="79"/>
        <v>12</v>
      </c>
      <c r="P543" t="str">
        <f t="shared" si="80"/>
        <v>.InternationalOrangeEngineering-bg{background-color:#BA160C;}</v>
      </c>
    </row>
    <row r="544" spans="2:16" ht="15.75">
      <c r="B544" s="1" t="s">
        <v>1247</v>
      </c>
      <c r="C544" t="s">
        <v>1248</v>
      </c>
      <c r="D544">
        <v>19125</v>
      </c>
      <c r="E544">
        <v>5355</v>
      </c>
      <c r="F544">
        <v>19125</v>
      </c>
      <c r="G544" t="str">
        <f t="shared" si="72"/>
        <v>InternationalOrangeGoldenGateBridge</v>
      </c>
      <c r="H544" t="str">
        <f t="shared" si="73"/>
        <v>C0362C</v>
      </c>
      <c r="I544" t="str">
        <f t="shared" si="74"/>
        <v>C0</v>
      </c>
      <c r="J544" t="str">
        <f t="shared" si="75"/>
        <v>36</v>
      </c>
      <c r="K544" t="str">
        <f t="shared" si="76"/>
        <v>2C</v>
      </c>
      <c r="L544">
        <f t="shared" si="77"/>
        <v>192</v>
      </c>
      <c r="M544">
        <f t="shared" si="78"/>
        <v>54</v>
      </c>
      <c r="N544">
        <f t="shared" si="79"/>
        <v>44</v>
      </c>
      <c r="P544" t="str">
        <f t="shared" si="80"/>
        <v>.InternationalOrangeGoldenGateBridge-bg{background-color:#C0362C;}</v>
      </c>
    </row>
    <row r="545" spans="2:16" ht="15.75">
      <c r="B545" s="1" t="s">
        <v>1249</v>
      </c>
      <c r="C545" t="s">
        <v>1250</v>
      </c>
      <c r="D545">
        <v>8925</v>
      </c>
      <c r="E545">
        <v>7905</v>
      </c>
      <c r="F545">
        <v>8925</v>
      </c>
      <c r="G545" t="str">
        <f t="shared" si="72"/>
        <v>Iris</v>
      </c>
      <c r="H545" t="str">
        <f t="shared" si="73"/>
        <v>5A4FCF</v>
      </c>
      <c r="I545" t="str">
        <f t="shared" si="74"/>
        <v>5A</v>
      </c>
      <c r="J545" t="str">
        <f t="shared" si="75"/>
        <v>4F</v>
      </c>
      <c r="K545" t="str">
        <f t="shared" si="76"/>
        <v>CF</v>
      </c>
      <c r="L545">
        <f t="shared" si="77"/>
        <v>90</v>
      </c>
      <c r="M545">
        <f t="shared" si="78"/>
        <v>79</v>
      </c>
      <c r="N545">
        <f t="shared" si="79"/>
        <v>207</v>
      </c>
      <c r="P545" t="str">
        <f t="shared" si="80"/>
        <v>.Iris-bg{background-color:#5A4FCF;}</v>
      </c>
    </row>
    <row r="546" spans="2:16" ht="15.75">
      <c r="B546" s="1" t="s">
        <v>1251</v>
      </c>
      <c r="C546" t="s">
        <v>1252</v>
      </c>
      <c r="D546">
        <v>17850</v>
      </c>
      <c r="E546">
        <v>6885</v>
      </c>
      <c r="F546">
        <v>17850</v>
      </c>
      <c r="G546" t="str">
        <f t="shared" si="72"/>
        <v>Irresistible</v>
      </c>
      <c r="H546" t="str">
        <f t="shared" si="73"/>
        <v>B3446C</v>
      </c>
      <c r="I546" t="str">
        <f t="shared" si="74"/>
        <v>B3</v>
      </c>
      <c r="J546" t="str">
        <f t="shared" si="75"/>
        <v>44</v>
      </c>
      <c r="K546" t="str">
        <f t="shared" si="76"/>
        <v>6C</v>
      </c>
      <c r="L546">
        <f t="shared" si="77"/>
        <v>179</v>
      </c>
      <c r="M546">
        <f t="shared" si="78"/>
        <v>68</v>
      </c>
      <c r="N546">
        <f t="shared" si="79"/>
        <v>108</v>
      </c>
      <c r="P546" t="str">
        <f t="shared" si="80"/>
        <v>.Irresistible-bg{background-color:#B3446C;}</v>
      </c>
    </row>
    <row r="547" spans="2:16" ht="15.75">
      <c r="B547" s="1" t="s">
        <v>1253</v>
      </c>
      <c r="C547" t="s">
        <v>1254</v>
      </c>
      <c r="D547">
        <v>24480</v>
      </c>
      <c r="E547">
        <v>23970</v>
      </c>
      <c r="F547">
        <v>24480</v>
      </c>
      <c r="G547" t="str">
        <f t="shared" si="72"/>
        <v>Isabelline</v>
      </c>
      <c r="H547" t="str">
        <f t="shared" si="73"/>
        <v>F4F0EC</v>
      </c>
      <c r="I547" t="str">
        <f t="shared" si="74"/>
        <v>F4</v>
      </c>
      <c r="J547" t="str">
        <f t="shared" si="75"/>
        <v>F0</v>
      </c>
      <c r="K547" t="str">
        <f t="shared" si="76"/>
        <v>EC</v>
      </c>
      <c r="L547">
        <f t="shared" si="77"/>
        <v>244</v>
      </c>
      <c r="M547">
        <f t="shared" si="78"/>
        <v>240</v>
      </c>
      <c r="N547">
        <f t="shared" si="79"/>
        <v>236</v>
      </c>
      <c r="P547" t="str">
        <f t="shared" si="80"/>
        <v>.Isabelline-bg{background-color:#F4F0EC;}</v>
      </c>
    </row>
    <row r="548" spans="2:16" ht="15.75">
      <c r="B548" s="1" t="s">
        <v>1255</v>
      </c>
      <c r="C548" t="s">
        <v>1256</v>
      </c>
      <c r="D548">
        <v>0</v>
      </c>
      <c r="E548">
        <v>14280</v>
      </c>
      <c r="F548">
        <v>0</v>
      </c>
      <c r="G548" t="str">
        <f t="shared" si="72"/>
        <v>IslamicGreen</v>
      </c>
      <c r="H548" t="str">
        <f t="shared" si="73"/>
        <v>009000</v>
      </c>
      <c r="I548" t="str">
        <f t="shared" si="74"/>
        <v>00</v>
      </c>
      <c r="J548" t="str">
        <f t="shared" si="75"/>
        <v>90</v>
      </c>
      <c r="K548" t="str">
        <f t="shared" si="76"/>
        <v>00</v>
      </c>
      <c r="L548">
        <f t="shared" si="77"/>
        <v>0</v>
      </c>
      <c r="M548">
        <f t="shared" si="78"/>
        <v>144</v>
      </c>
      <c r="N548">
        <f t="shared" si="79"/>
        <v>0</v>
      </c>
      <c r="P548" t="str">
        <f t="shared" si="80"/>
        <v>.IslamicGreen-bg{background-color:#009000;}</v>
      </c>
    </row>
    <row r="549" spans="2:16" ht="15.75">
      <c r="B549" s="1" t="s">
        <v>1257</v>
      </c>
      <c r="C549" t="s">
        <v>586</v>
      </c>
      <c r="D549">
        <v>17850</v>
      </c>
      <c r="E549">
        <v>25500</v>
      </c>
      <c r="F549">
        <v>17850</v>
      </c>
      <c r="G549" t="str">
        <f t="shared" si="72"/>
        <v>ItalianSkyBlue</v>
      </c>
      <c r="H549" t="str">
        <f t="shared" si="73"/>
        <v>B2FFFF</v>
      </c>
      <c r="I549" t="str">
        <f t="shared" si="74"/>
        <v>B2</v>
      </c>
      <c r="J549" t="str">
        <f t="shared" si="75"/>
        <v>FF</v>
      </c>
      <c r="K549" t="str">
        <f t="shared" si="76"/>
        <v>FF</v>
      </c>
      <c r="L549">
        <f t="shared" si="77"/>
        <v>178</v>
      </c>
      <c r="M549">
        <f t="shared" si="78"/>
        <v>255</v>
      </c>
      <c r="N549">
        <f t="shared" si="79"/>
        <v>255</v>
      </c>
      <c r="P549" t="str">
        <f t="shared" si="80"/>
        <v>.ItalianSkyBlue-bg{background-color:#B2FFFF;}</v>
      </c>
    </row>
    <row r="550" spans="2:16" ht="15.75">
      <c r="B550" s="1" t="s">
        <v>1258</v>
      </c>
      <c r="C550" t="s">
        <v>1259</v>
      </c>
      <c r="D550">
        <v>25500</v>
      </c>
      <c r="E550">
        <v>25500</v>
      </c>
      <c r="F550">
        <v>25500</v>
      </c>
      <c r="G550" t="str">
        <f t="shared" si="72"/>
        <v>Ivory</v>
      </c>
      <c r="H550" t="str">
        <f t="shared" si="73"/>
        <v>FFFFF0</v>
      </c>
      <c r="I550" t="str">
        <f t="shared" si="74"/>
        <v>FF</v>
      </c>
      <c r="J550" t="str">
        <f t="shared" si="75"/>
        <v>FF</v>
      </c>
      <c r="K550" t="str">
        <f t="shared" si="76"/>
        <v>F0</v>
      </c>
      <c r="L550">
        <f t="shared" si="77"/>
        <v>255</v>
      </c>
      <c r="M550">
        <f t="shared" si="78"/>
        <v>255</v>
      </c>
      <c r="N550">
        <f t="shared" si="79"/>
        <v>240</v>
      </c>
      <c r="P550" t="str">
        <f t="shared" si="80"/>
        <v>.Ivory-bg{background-color:#FFFFF0;}</v>
      </c>
    </row>
    <row r="551" spans="2:16" ht="15.75">
      <c r="B551" s="1" t="s">
        <v>1260</v>
      </c>
      <c r="C551" t="s">
        <v>1261</v>
      </c>
      <c r="D551">
        <v>0</v>
      </c>
      <c r="E551">
        <v>16830</v>
      </c>
      <c r="F551">
        <v>0</v>
      </c>
      <c r="G551" t="str">
        <f t="shared" si="72"/>
        <v>Jade</v>
      </c>
      <c r="H551" t="str">
        <f t="shared" si="73"/>
        <v>00A86B</v>
      </c>
      <c r="I551" t="str">
        <f t="shared" si="74"/>
        <v>00</v>
      </c>
      <c r="J551" t="str">
        <f t="shared" si="75"/>
        <v>A8</v>
      </c>
      <c r="K551" t="str">
        <f t="shared" si="76"/>
        <v>6B</v>
      </c>
      <c r="L551">
        <f t="shared" si="77"/>
        <v>0</v>
      </c>
      <c r="M551">
        <f t="shared" si="78"/>
        <v>168</v>
      </c>
      <c r="N551">
        <f t="shared" si="79"/>
        <v>107</v>
      </c>
      <c r="P551" t="str">
        <f t="shared" si="80"/>
        <v>.Jade-bg{background-color:#00A86B;}</v>
      </c>
    </row>
    <row r="552" spans="2:16" ht="15.75">
      <c r="B552" s="1" t="s">
        <v>1262</v>
      </c>
      <c r="C552" t="s">
        <v>1263</v>
      </c>
      <c r="D552">
        <v>15810</v>
      </c>
      <c r="E552">
        <v>4080</v>
      </c>
      <c r="F552">
        <v>15810</v>
      </c>
      <c r="G552" t="str">
        <f t="shared" si="72"/>
        <v>JapaneseCarmine</v>
      </c>
      <c r="H552" t="str">
        <f t="shared" si="73"/>
        <v>9D2933</v>
      </c>
      <c r="I552" t="str">
        <f t="shared" si="74"/>
        <v>9D</v>
      </c>
      <c r="J552" t="str">
        <f t="shared" si="75"/>
        <v>29</v>
      </c>
      <c r="K552" t="str">
        <f t="shared" si="76"/>
        <v>33</v>
      </c>
      <c r="L552">
        <f t="shared" si="77"/>
        <v>157</v>
      </c>
      <c r="M552">
        <f t="shared" si="78"/>
        <v>41</v>
      </c>
      <c r="N552">
        <f t="shared" si="79"/>
        <v>51</v>
      </c>
      <c r="P552" t="str">
        <f t="shared" si="80"/>
        <v>.JapaneseCarmine-bg{background-color:#9D2933;}</v>
      </c>
    </row>
    <row r="553" spans="2:16" ht="15.75">
      <c r="B553" s="1" t="s">
        <v>1264</v>
      </c>
      <c r="C553" t="s">
        <v>1265</v>
      </c>
      <c r="D553">
        <v>3825</v>
      </c>
      <c r="E553">
        <v>6630</v>
      </c>
      <c r="F553">
        <v>3825</v>
      </c>
      <c r="G553" t="str">
        <f t="shared" si="72"/>
        <v>JapaneseIndigo</v>
      </c>
      <c r="H553" t="str">
        <f t="shared" si="73"/>
        <v>264348</v>
      </c>
      <c r="I553" t="str">
        <f t="shared" si="74"/>
        <v>26</v>
      </c>
      <c r="J553" t="str">
        <f t="shared" si="75"/>
        <v>43</v>
      </c>
      <c r="K553" t="str">
        <f t="shared" si="76"/>
        <v>48</v>
      </c>
      <c r="L553">
        <f t="shared" si="77"/>
        <v>38</v>
      </c>
      <c r="M553">
        <f t="shared" si="78"/>
        <v>67</v>
      </c>
      <c r="N553">
        <f t="shared" si="79"/>
        <v>72</v>
      </c>
      <c r="P553" t="str">
        <f t="shared" si="80"/>
        <v>.JapaneseIndigo-bg{background-color:#264348;}</v>
      </c>
    </row>
    <row r="554" spans="2:16" ht="15.75">
      <c r="B554" s="1" t="s">
        <v>1266</v>
      </c>
      <c r="C554" t="s">
        <v>1267</v>
      </c>
      <c r="D554">
        <v>9180</v>
      </c>
      <c r="E554">
        <v>5100</v>
      </c>
      <c r="F554">
        <v>9180</v>
      </c>
      <c r="G554" t="str">
        <f t="shared" si="72"/>
        <v>JapaneseViolet</v>
      </c>
      <c r="H554" t="str">
        <f t="shared" si="73"/>
        <v>5B3256</v>
      </c>
      <c r="I554" t="str">
        <f t="shared" si="74"/>
        <v>5B</v>
      </c>
      <c r="J554" t="str">
        <f t="shared" si="75"/>
        <v>32</v>
      </c>
      <c r="K554" t="str">
        <f t="shared" si="76"/>
        <v>56</v>
      </c>
      <c r="L554">
        <f t="shared" si="77"/>
        <v>91</v>
      </c>
      <c r="M554">
        <f t="shared" si="78"/>
        <v>50</v>
      </c>
      <c r="N554">
        <f t="shared" si="79"/>
        <v>86</v>
      </c>
      <c r="P554" t="str">
        <f t="shared" si="80"/>
        <v>.JapaneseViolet-bg{background-color:#5B3256;}</v>
      </c>
    </row>
    <row r="555" spans="2:16" ht="15.75">
      <c r="B555" s="1" t="s">
        <v>1268</v>
      </c>
      <c r="C555" t="s">
        <v>1269</v>
      </c>
      <c r="D555">
        <v>24735</v>
      </c>
      <c r="E555">
        <v>22185</v>
      </c>
      <c r="F555">
        <v>24735</v>
      </c>
      <c r="G555" t="str">
        <f t="shared" si="72"/>
        <v>Jasmine</v>
      </c>
      <c r="H555" t="str">
        <f t="shared" si="73"/>
        <v>F8DE7E</v>
      </c>
      <c r="I555" t="str">
        <f t="shared" si="74"/>
        <v>F8</v>
      </c>
      <c r="J555" t="str">
        <f t="shared" si="75"/>
        <v>DE</v>
      </c>
      <c r="K555" t="str">
        <f t="shared" si="76"/>
        <v>7E</v>
      </c>
      <c r="L555">
        <f t="shared" si="77"/>
        <v>248</v>
      </c>
      <c r="M555">
        <f t="shared" si="78"/>
        <v>222</v>
      </c>
      <c r="N555">
        <f t="shared" si="79"/>
        <v>126</v>
      </c>
      <c r="P555" t="str">
        <f t="shared" si="80"/>
        <v>.Jasmine-bg{background-color:#F8DE7E;}</v>
      </c>
    </row>
    <row r="556" spans="2:16" ht="15.75">
      <c r="B556" s="1" t="s">
        <v>1270</v>
      </c>
      <c r="C556" t="s">
        <v>1271</v>
      </c>
      <c r="D556">
        <v>21420</v>
      </c>
      <c r="E556">
        <v>5865</v>
      </c>
      <c r="F556">
        <v>21420</v>
      </c>
      <c r="G556" t="str">
        <f t="shared" si="72"/>
        <v>Jasper</v>
      </c>
      <c r="H556" t="str">
        <f t="shared" si="73"/>
        <v>D73B3E</v>
      </c>
      <c r="I556" t="str">
        <f t="shared" si="74"/>
        <v>D7</v>
      </c>
      <c r="J556" t="str">
        <f t="shared" si="75"/>
        <v>3B</v>
      </c>
      <c r="K556" t="str">
        <f t="shared" si="76"/>
        <v>3E</v>
      </c>
      <c r="L556">
        <f t="shared" si="77"/>
        <v>215</v>
      </c>
      <c r="M556">
        <f t="shared" si="78"/>
        <v>59</v>
      </c>
      <c r="N556">
        <f t="shared" si="79"/>
        <v>62</v>
      </c>
      <c r="P556" t="str">
        <f t="shared" si="80"/>
        <v>.Jasper-bg{background-color:#D73B3E;}</v>
      </c>
    </row>
    <row r="557" spans="2:16" ht="15.75">
      <c r="B557" s="1" t="s">
        <v>1272</v>
      </c>
      <c r="C557" t="s">
        <v>1273</v>
      </c>
      <c r="D557">
        <v>16575</v>
      </c>
      <c r="E557">
        <v>1020</v>
      </c>
      <c r="F557">
        <v>16575</v>
      </c>
      <c r="G557" t="str">
        <f t="shared" si="72"/>
        <v>JazzberryJam</v>
      </c>
      <c r="H557" t="str">
        <f t="shared" si="73"/>
        <v>A50B5E</v>
      </c>
      <c r="I557" t="str">
        <f t="shared" si="74"/>
        <v>A5</v>
      </c>
      <c r="J557" t="str">
        <f t="shared" si="75"/>
        <v>0B</v>
      </c>
      <c r="K557" t="str">
        <f t="shared" si="76"/>
        <v>5E</v>
      </c>
      <c r="L557">
        <f t="shared" si="77"/>
        <v>165</v>
      </c>
      <c r="M557">
        <f t="shared" si="78"/>
        <v>11</v>
      </c>
      <c r="N557">
        <f t="shared" si="79"/>
        <v>94</v>
      </c>
      <c r="P557" t="str">
        <f t="shared" si="80"/>
        <v>.JazzberryJam-bg{background-color:#A50B5E;}</v>
      </c>
    </row>
    <row r="558" spans="2:16" ht="15.75">
      <c r="B558" s="1" t="s">
        <v>1274</v>
      </c>
      <c r="C558" t="s">
        <v>1275</v>
      </c>
      <c r="D558">
        <v>21675</v>
      </c>
      <c r="E558">
        <v>9690</v>
      </c>
      <c r="F558">
        <v>21675</v>
      </c>
      <c r="G558" t="str">
        <f t="shared" si="72"/>
        <v>JellyBean</v>
      </c>
      <c r="H558" t="str">
        <f t="shared" si="73"/>
        <v>DA614E</v>
      </c>
      <c r="I558" t="str">
        <f t="shared" si="74"/>
        <v>DA</v>
      </c>
      <c r="J558" t="str">
        <f t="shared" si="75"/>
        <v>61</v>
      </c>
      <c r="K558" t="str">
        <f t="shared" si="76"/>
        <v>4E</v>
      </c>
      <c r="L558">
        <f t="shared" si="77"/>
        <v>218</v>
      </c>
      <c r="M558">
        <f t="shared" si="78"/>
        <v>97</v>
      </c>
      <c r="N558">
        <f t="shared" si="79"/>
        <v>78</v>
      </c>
      <c r="P558" t="str">
        <f t="shared" si="80"/>
        <v>.JellyBean-bg{background-color:#DA614E;}</v>
      </c>
    </row>
    <row r="559" spans="2:16" ht="15.75">
      <c r="B559" s="1" t="s">
        <v>1276</v>
      </c>
      <c r="C559" t="s">
        <v>1277</v>
      </c>
      <c r="D559">
        <v>5100</v>
      </c>
      <c r="E559">
        <v>5100</v>
      </c>
      <c r="F559">
        <v>5100</v>
      </c>
      <c r="G559" t="str">
        <f t="shared" si="72"/>
        <v>Jet</v>
      </c>
      <c r="H559" t="str">
        <f t="shared" si="73"/>
        <v>343434</v>
      </c>
      <c r="I559" t="str">
        <f t="shared" si="74"/>
        <v>34</v>
      </c>
      <c r="J559" t="str">
        <f t="shared" si="75"/>
        <v>34</v>
      </c>
      <c r="K559" t="str">
        <f t="shared" si="76"/>
        <v>34</v>
      </c>
      <c r="L559">
        <f t="shared" si="77"/>
        <v>52</v>
      </c>
      <c r="M559">
        <f t="shared" si="78"/>
        <v>52</v>
      </c>
      <c r="N559">
        <f t="shared" si="79"/>
        <v>52</v>
      </c>
      <c r="P559" t="str">
        <f t="shared" si="80"/>
        <v>.Jet-bg{background-color:#343434;}</v>
      </c>
    </row>
    <row r="560" spans="2:16" ht="15.75">
      <c r="B560" s="1" t="s">
        <v>1278</v>
      </c>
      <c r="C560" t="s">
        <v>1279</v>
      </c>
      <c r="D560">
        <v>24480</v>
      </c>
      <c r="E560">
        <v>20145</v>
      </c>
      <c r="F560">
        <v>24480</v>
      </c>
      <c r="G560" t="str">
        <f t="shared" si="72"/>
        <v>Jonquil</v>
      </c>
      <c r="H560" t="str">
        <f t="shared" si="73"/>
        <v>F4CA16</v>
      </c>
      <c r="I560" t="str">
        <f t="shared" si="74"/>
        <v>F4</v>
      </c>
      <c r="J560" t="str">
        <f t="shared" si="75"/>
        <v>CA</v>
      </c>
      <c r="K560" t="str">
        <f t="shared" si="76"/>
        <v>16</v>
      </c>
      <c r="L560">
        <f t="shared" si="77"/>
        <v>244</v>
      </c>
      <c r="M560">
        <f t="shared" si="78"/>
        <v>202</v>
      </c>
      <c r="N560">
        <f t="shared" si="79"/>
        <v>22</v>
      </c>
      <c r="P560" t="str">
        <f t="shared" si="80"/>
        <v>.Jonquil-bg{background-color:#F4CA16;}</v>
      </c>
    </row>
    <row r="561" spans="2:16" ht="15.75">
      <c r="B561" s="1" t="s">
        <v>1280</v>
      </c>
      <c r="C561" t="s">
        <v>1281</v>
      </c>
      <c r="D561">
        <v>13770</v>
      </c>
      <c r="E561">
        <v>18615</v>
      </c>
      <c r="F561">
        <v>13770</v>
      </c>
      <c r="G561" t="str">
        <f t="shared" si="72"/>
        <v>JordyBlue</v>
      </c>
      <c r="H561" t="str">
        <f t="shared" si="73"/>
        <v>8AB9F1</v>
      </c>
      <c r="I561" t="str">
        <f t="shared" si="74"/>
        <v>8A</v>
      </c>
      <c r="J561" t="str">
        <f t="shared" si="75"/>
        <v>B9</v>
      </c>
      <c r="K561" t="str">
        <f t="shared" si="76"/>
        <v>F1</v>
      </c>
      <c r="L561">
        <f t="shared" si="77"/>
        <v>138</v>
      </c>
      <c r="M561">
        <f t="shared" si="78"/>
        <v>185</v>
      </c>
      <c r="N561">
        <f t="shared" si="79"/>
        <v>241</v>
      </c>
      <c r="P561" t="str">
        <f t="shared" si="80"/>
        <v>.JordyBlue-bg{background-color:#8AB9F1;}</v>
      </c>
    </row>
    <row r="562" spans="2:16" ht="15.75">
      <c r="B562" s="1" t="s">
        <v>1282</v>
      </c>
      <c r="C562" t="s">
        <v>1283</v>
      </c>
      <c r="D562">
        <v>18870</v>
      </c>
      <c r="E562">
        <v>21675</v>
      </c>
      <c r="F562">
        <v>18870</v>
      </c>
      <c r="G562" t="str">
        <f t="shared" si="72"/>
        <v>JuneBud</v>
      </c>
      <c r="H562" t="str">
        <f t="shared" si="73"/>
        <v>BDDA57</v>
      </c>
      <c r="I562" t="str">
        <f t="shared" si="74"/>
        <v>BD</v>
      </c>
      <c r="J562" t="str">
        <f t="shared" si="75"/>
        <v>DA</v>
      </c>
      <c r="K562" t="str">
        <f t="shared" si="76"/>
        <v>57</v>
      </c>
      <c r="L562">
        <f t="shared" si="77"/>
        <v>189</v>
      </c>
      <c r="M562">
        <f t="shared" si="78"/>
        <v>218</v>
      </c>
      <c r="N562">
        <f t="shared" si="79"/>
        <v>87</v>
      </c>
      <c r="P562" t="str">
        <f t="shared" si="80"/>
        <v>.JuneBud-bg{background-color:#BDDA57;}</v>
      </c>
    </row>
    <row r="563" spans="2:16" ht="15.75">
      <c r="B563" s="1" t="s">
        <v>1284</v>
      </c>
      <c r="C563" t="s">
        <v>1285</v>
      </c>
      <c r="D563">
        <v>4080</v>
      </c>
      <c r="E563">
        <v>17085</v>
      </c>
      <c r="F563">
        <v>4080</v>
      </c>
      <c r="G563" t="str">
        <f t="shared" si="72"/>
        <v>JungleGreen</v>
      </c>
      <c r="H563" t="str">
        <f t="shared" si="73"/>
        <v>29AB87</v>
      </c>
      <c r="I563" t="str">
        <f t="shared" si="74"/>
        <v>29</v>
      </c>
      <c r="J563" t="str">
        <f t="shared" si="75"/>
        <v>AB</v>
      </c>
      <c r="K563" t="str">
        <f t="shared" si="76"/>
        <v>87</v>
      </c>
      <c r="L563">
        <f t="shared" si="77"/>
        <v>41</v>
      </c>
      <c r="M563">
        <f t="shared" si="78"/>
        <v>171</v>
      </c>
      <c r="N563">
        <f t="shared" si="79"/>
        <v>135</v>
      </c>
      <c r="P563" t="str">
        <f t="shared" si="80"/>
        <v>.JungleGreen-bg{background-color:#29AB87;}</v>
      </c>
    </row>
    <row r="564" spans="2:16" ht="15.75">
      <c r="B564" s="1" t="s">
        <v>1286</v>
      </c>
      <c r="C564" t="s">
        <v>1287</v>
      </c>
      <c r="D564">
        <v>7650</v>
      </c>
      <c r="E564">
        <v>18615</v>
      </c>
      <c r="F564">
        <v>7650</v>
      </c>
      <c r="G564" t="str">
        <f t="shared" si="72"/>
        <v>KellyGreen</v>
      </c>
      <c r="H564" t="str">
        <f t="shared" si="73"/>
        <v>4CBB17</v>
      </c>
      <c r="I564" t="str">
        <f t="shared" si="74"/>
        <v>4C</v>
      </c>
      <c r="J564" t="str">
        <f t="shared" si="75"/>
        <v>BB</v>
      </c>
      <c r="K564" t="str">
        <f t="shared" si="76"/>
        <v>17</v>
      </c>
      <c r="L564">
        <f t="shared" si="77"/>
        <v>76</v>
      </c>
      <c r="M564">
        <f t="shared" si="78"/>
        <v>187</v>
      </c>
      <c r="N564">
        <f t="shared" si="79"/>
        <v>23</v>
      </c>
      <c r="P564" t="str">
        <f t="shared" si="80"/>
        <v>.KellyGreen-bg{background-color:#4CBB17;}</v>
      </c>
    </row>
    <row r="565" spans="2:16" ht="15.75">
      <c r="B565" s="1" t="s">
        <v>1288</v>
      </c>
      <c r="C565" t="s">
        <v>1289</v>
      </c>
      <c r="D565">
        <v>12495</v>
      </c>
      <c r="E565">
        <v>2805</v>
      </c>
      <c r="F565">
        <v>12495</v>
      </c>
      <c r="G565" t="str">
        <f t="shared" si="72"/>
        <v>KenyanCopper</v>
      </c>
      <c r="H565" t="str">
        <f t="shared" si="73"/>
        <v>7C1C05</v>
      </c>
      <c r="I565" t="str">
        <f t="shared" si="74"/>
        <v>7C</v>
      </c>
      <c r="J565" t="str">
        <f t="shared" si="75"/>
        <v>1C</v>
      </c>
      <c r="K565" t="str">
        <f t="shared" si="76"/>
        <v>05</v>
      </c>
      <c r="L565">
        <f t="shared" si="77"/>
        <v>124</v>
      </c>
      <c r="M565">
        <f t="shared" si="78"/>
        <v>28</v>
      </c>
      <c r="N565">
        <f t="shared" si="79"/>
        <v>5</v>
      </c>
      <c r="P565" t="str">
        <f t="shared" si="80"/>
        <v>.KenyanCopper-bg{background-color:#7C1C05;}</v>
      </c>
    </row>
    <row r="566" spans="2:16" ht="15.75">
      <c r="B566" s="1" t="s">
        <v>1290</v>
      </c>
      <c r="C566" t="s">
        <v>1291</v>
      </c>
      <c r="D566">
        <v>5865</v>
      </c>
      <c r="E566">
        <v>17595</v>
      </c>
      <c r="F566">
        <v>5865</v>
      </c>
      <c r="G566" t="str">
        <f t="shared" si="72"/>
        <v>Keppel</v>
      </c>
      <c r="H566" t="str">
        <f t="shared" si="73"/>
        <v>3AB09E</v>
      </c>
      <c r="I566" t="str">
        <f t="shared" si="74"/>
        <v>3A</v>
      </c>
      <c r="J566" t="str">
        <f t="shared" si="75"/>
        <v>B0</v>
      </c>
      <c r="K566" t="str">
        <f t="shared" si="76"/>
        <v>9E</v>
      </c>
      <c r="L566">
        <f t="shared" si="77"/>
        <v>58</v>
      </c>
      <c r="M566">
        <f t="shared" si="78"/>
        <v>176</v>
      </c>
      <c r="N566">
        <f t="shared" si="79"/>
        <v>158</v>
      </c>
      <c r="P566" t="str">
        <f t="shared" si="80"/>
        <v>.Keppel-bg{background-color:#3AB09E;}</v>
      </c>
    </row>
    <row r="567" spans="2:16" ht="15.75">
      <c r="B567" s="1" t="s">
        <v>1292</v>
      </c>
      <c r="C567" t="s">
        <v>1293</v>
      </c>
      <c r="D567">
        <v>23205</v>
      </c>
      <c r="E567">
        <v>24480</v>
      </c>
      <c r="F567">
        <v>23205</v>
      </c>
      <c r="G567" t="str">
        <f t="shared" si="72"/>
        <v>KeyLime</v>
      </c>
      <c r="H567" t="str">
        <f t="shared" si="73"/>
        <v>E8F48C</v>
      </c>
      <c r="I567" t="str">
        <f t="shared" si="74"/>
        <v>E8</v>
      </c>
      <c r="J567" t="str">
        <f t="shared" si="75"/>
        <v>F4</v>
      </c>
      <c r="K567" t="str">
        <f t="shared" si="76"/>
        <v>8C</v>
      </c>
      <c r="L567">
        <f t="shared" si="77"/>
        <v>232</v>
      </c>
      <c r="M567">
        <f t="shared" si="78"/>
        <v>244</v>
      </c>
      <c r="N567">
        <f t="shared" si="79"/>
        <v>140</v>
      </c>
      <c r="P567" t="str">
        <f t="shared" si="80"/>
        <v>.KeyLime-bg{background-color:#E8F48C;}</v>
      </c>
    </row>
    <row r="568" spans="2:16" ht="15.75">
      <c r="B568" s="1" t="s">
        <v>1294</v>
      </c>
      <c r="C568" t="s">
        <v>1295</v>
      </c>
      <c r="D568">
        <v>19380</v>
      </c>
      <c r="E568">
        <v>17595</v>
      </c>
      <c r="F568">
        <v>19380</v>
      </c>
      <c r="G568" t="str">
        <f t="shared" si="72"/>
        <v>KhakiHtmlcssKhaki</v>
      </c>
      <c r="H568" t="str">
        <f t="shared" si="73"/>
        <v>C3B091</v>
      </c>
      <c r="I568" t="str">
        <f t="shared" si="74"/>
        <v>C3</v>
      </c>
      <c r="J568" t="str">
        <f t="shared" si="75"/>
        <v>B0</v>
      </c>
      <c r="K568" t="str">
        <f t="shared" si="76"/>
        <v>91</v>
      </c>
      <c r="L568">
        <f t="shared" si="77"/>
        <v>195</v>
      </c>
      <c r="M568">
        <f t="shared" si="78"/>
        <v>176</v>
      </c>
      <c r="N568">
        <f t="shared" si="79"/>
        <v>145</v>
      </c>
      <c r="P568" t="str">
        <f t="shared" si="80"/>
        <v>.KhakiHtmlcssKhaki-bg{background-color:#C3B091;}</v>
      </c>
    </row>
    <row r="569" spans="2:16" ht="15.75">
      <c r="B569" s="1" t="s">
        <v>1296</v>
      </c>
      <c r="C569" t="s">
        <v>1297</v>
      </c>
      <c r="D569">
        <v>23970</v>
      </c>
      <c r="E569">
        <v>22950</v>
      </c>
      <c r="F569">
        <v>23970</v>
      </c>
      <c r="G569" t="str">
        <f t="shared" si="72"/>
        <v>KhakiX11LightKhaki</v>
      </c>
      <c r="H569" t="str">
        <f t="shared" si="73"/>
        <v>F0E68C</v>
      </c>
      <c r="I569" t="str">
        <f t="shared" si="74"/>
        <v>F0</v>
      </c>
      <c r="J569" t="str">
        <f t="shared" si="75"/>
        <v>E6</v>
      </c>
      <c r="K569" t="str">
        <f t="shared" si="76"/>
        <v>8C</v>
      </c>
      <c r="L569">
        <f t="shared" si="77"/>
        <v>240</v>
      </c>
      <c r="M569">
        <f t="shared" si="78"/>
        <v>230</v>
      </c>
      <c r="N569">
        <f t="shared" si="79"/>
        <v>140</v>
      </c>
      <c r="P569" t="str">
        <f t="shared" si="80"/>
        <v>.KhakiX11LightKhaki-bg{background-color:#F0E68C;}</v>
      </c>
    </row>
    <row r="570" spans="2:16" ht="15.75">
      <c r="B570" s="1" t="s">
        <v>1298</v>
      </c>
      <c r="C570" t="s">
        <v>1299</v>
      </c>
      <c r="D570">
        <v>13515</v>
      </c>
      <c r="E570">
        <v>4590</v>
      </c>
      <c r="F570">
        <v>13515</v>
      </c>
      <c r="G570" t="str">
        <f t="shared" si="72"/>
        <v>Kobe</v>
      </c>
      <c r="H570" t="str">
        <f t="shared" si="73"/>
        <v>882D17</v>
      </c>
      <c r="I570" t="str">
        <f t="shared" si="74"/>
        <v>88</v>
      </c>
      <c r="J570" t="str">
        <f t="shared" si="75"/>
        <v>2D</v>
      </c>
      <c r="K570" t="str">
        <f t="shared" si="76"/>
        <v>17</v>
      </c>
      <c r="L570">
        <f t="shared" si="77"/>
        <v>136</v>
      </c>
      <c r="M570">
        <f t="shared" si="78"/>
        <v>45</v>
      </c>
      <c r="N570">
        <f t="shared" si="79"/>
        <v>23</v>
      </c>
      <c r="P570" t="str">
        <f t="shared" si="80"/>
        <v>.Kobe-bg{background-color:#882D17;}</v>
      </c>
    </row>
    <row r="571" spans="2:16" ht="15.75">
      <c r="B571" s="1" t="s">
        <v>1300</v>
      </c>
      <c r="C571" t="s">
        <v>1301</v>
      </c>
      <c r="D571">
        <v>23205</v>
      </c>
      <c r="E571">
        <v>15810</v>
      </c>
      <c r="F571">
        <v>23205</v>
      </c>
      <c r="G571" t="str">
        <f t="shared" si="72"/>
        <v>Kobi</v>
      </c>
      <c r="H571" t="str">
        <f t="shared" si="73"/>
        <v>E79FC4</v>
      </c>
      <c r="I571" t="str">
        <f t="shared" si="74"/>
        <v>E7</v>
      </c>
      <c r="J571" t="str">
        <f t="shared" si="75"/>
        <v>9F</v>
      </c>
      <c r="K571" t="str">
        <f t="shared" si="76"/>
        <v>C4</v>
      </c>
      <c r="L571">
        <f t="shared" si="77"/>
        <v>231</v>
      </c>
      <c r="M571">
        <f t="shared" si="78"/>
        <v>159</v>
      </c>
      <c r="N571">
        <f t="shared" si="79"/>
        <v>196</v>
      </c>
      <c r="P571" t="str">
        <f t="shared" si="80"/>
        <v>.Kobi-bg{background-color:#E79FC4;}</v>
      </c>
    </row>
    <row r="572" spans="2:16" ht="15.75">
      <c r="B572" s="1" t="s">
        <v>1302</v>
      </c>
      <c r="C572" t="s">
        <v>478</v>
      </c>
      <c r="D572">
        <v>10710</v>
      </c>
      <c r="E572">
        <v>6885</v>
      </c>
      <c r="F572">
        <v>10710</v>
      </c>
      <c r="G572" t="str">
        <f t="shared" si="72"/>
        <v>Kobicha</v>
      </c>
      <c r="H572" t="str">
        <f t="shared" si="73"/>
        <v>6B4423</v>
      </c>
      <c r="I572" t="str">
        <f t="shared" si="74"/>
        <v>6B</v>
      </c>
      <c r="J572" t="str">
        <f t="shared" si="75"/>
        <v>44</v>
      </c>
      <c r="K572" t="str">
        <f t="shared" si="76"/>
        <v>23</v>
      </c>
      <c r="L572">
        <f t="shared" si="77"/>
        <v>107</v>
      </c>
      <c r="M572">
        <f t="shared" si="78"/>
        <v>68</v>
      </c>
      <c r="N572">
        <f t="shared" si="79"/>
        <v>35</v>
      </c>
      <c r="P572" t="str">
        <f t="shared" si="80"/>
        <v>.Kobicha-bg{background-color:#6B4423;}</v>
      </c>
    </row>
    <row r="573" spans="2:16" ht="15.75">
      <c r="B573" s="1" t="s">
        <v>1303</v>
      </c>
      <c r="C573" t="s">
        <v>1304</v>
      </c>
      <c r="D573">
        <v>5355</v>
      </c>
      <c r="E573">
        <v>6630</v>
      </c>
      <c r="F573">
        <v>5355</v>
      </c>
      <c r="G573" t="str">
        <f t="shared" si="72"/>
        <v>KombuGreen</v>
      </c>
      <c r="H573" t="str">
        <f t="shared" si="73"/>
        <v>354230</v>
      </c>
      <c r="I573" t="str">
        <f t="shared" si="74"/>
        <v>35</v>
      </c>
      <c r="J573" t="str">
        <f t="shared" si="75"/>
        <v>42</v>
      </c>
      <c r="K573" t="str">
        <f t="shared" si="76"/>
        <v>30</v>
      </c>
      <c r="L573">
        <f t="shared" si="77"/>
        <v>53</v>
      </c>
      <c r="M573">
        <f t="shared" si="78"/>
        <v>66</v>
      </c>
      <c r="N573">
        <f t="shared" si="79"/>
        <v>48</v>
      </c>
      <c r="P573" t="str">
        <f t="shared" si="80"/>
        <v>.KombuGreen-bg{background-color:#354230;}</v>
      </c>
    </row>
    <row r="574" spans="2:16" ht="15.75">
      <c r="B574" s="1" t="s">
        <v>1305</v>
      </c>
      <c r="C574" t="s">
        <v>1306</v>
      </c>
      <c r="D574">
        <v>23205</v>
      </c>
      <c r="E574">
        <v>0</v>
      </c>
      <c r="F574">
        <v>23205</v>
      </c>
      <c r="G574" t="str">
        <f t="shared" si="72"/>
        <v>KuCrimson</v>
      </c>
      <c r="H574" t="str">
        <f t="shared" si="73"/>
        <v>E8000D</v>
      </c>
      <c r="I574" t="str">
        <f t="shared" si="74"/>
        <v>E8</v>
      </c>
      <c r="J574" t="str">
        <f t="shared" si="75"/>
        <v>00</v>
      </c>
      <c r="K574" t="str">
        <f t="shared" si="76"/>
        <v>0D</v>
      </c>
      <c r="L574">
        <f t="shared" si="77"/>
        <v>232</v>
      </c>
      <c r="M574">
        <f t="shared" si="78"/>
        <v>0</v>
      </c>
      <c r="N574">
        <f t="shared" si="79"/>
        <v>13</v>
      </c>
      <c r="P574" t="str">
        <f t="shared" si="80"/>
        <v>.KuCrimson-bg{background-color:#E8000D;}</v>
      </c>
    </row>
    <row r="575" spans="2:16" ht="15.75">
      <c r="B575" s="1" t="s">
        <v>1307</v>
      </c>
      <c r="C575" t="s">
        <v>1308</v>
      </c>
      <c r="D575">
        <v>765</v>
      </c>
      <c r="E575">
        <v>11985</v>
      </c>
      <c r="F575">
        <v>765</v>
      </c>
      <c r="G575" t="str">
        <f t="shared" si="72"/>
        <v>LaSalleGreen</v>
      </c>
      <c r="H575" t="str">
        <f t="shared" si="73"/>
        <v>087830</v>
      </c>
      <c r="I575" t="str">
        <f t="shared" si="74"/>
        <v>08</v>
      </c>
      <c r="J575" t="str">
        <f t="shared" si="75"/>
        <v>78</v>
      </c>
      <c r="K575" t="str">
        <f t="shared" si="76"/>
        <v>30</v>
      </c>
      <c r="L575">
        <f t="shared" si="77"/>
        <v>8</v>
      </c>
      <c r="M575">
        <f t="shared" si="78"/>
        <v>120</v>
      </c>
      <c r="N575">
        <f t="shared" si="79"/>
        <v>48</v>
      </c>
      <c r="P575" t="str">
        <f t="shared" si="80"/>
        <v>.LaSalleGreen-bg{background-color:#087830;}</v>
      </c>
    </row>
    <row r="576" spans="2:16" ht="15.75">
      <c r="B576" s="1" t="s">
        <v>1309</v>
      </c>
      <c r="C576" t="s">
        <v>1310</v>
      </c>
      <c r="D576">
        <v>21420</v>
      </c>
      <c r="E576">
        <v>20145</v>
      </c>
      <c r="F576">
        <v>21420</v>
      </c>
      <c r="G576" t="str">
        <f t="shared" si="72"/>
        <v>LanguidLavender</v>
      </c>
      <c r="H576" t="str">
        <f t="shared" si="73"/>
        <v>D6CADD</v>
      </c>
      <c r="I576" t="str">
        <f t="shared" si="74"/>
        <v>D6</v>
      </c>
      <c r="J576" t="str">
        <f t="shared" si="75"/>
        <v>CA</v>
      </c>
      <c r="K576" t="str">
        <f t="shared" si="76"/>
        <v>DD</v>
      </c>
      <c r="L576">
        <f t="shared" si="77"/>
        <v>214</v>
      </c>
      <c r="M576">
        <f t="shared" si="78"/>
        <v>202</v>
      </c>
      <c r="N576">
        <f t="shared" si="79"/>
        <v>221</v>
      </c>
      <c r="P576" t="str">
        <f t="shared" si="80"/>
        <v>.LanguidLavender-bg{background-color:#D6CADD;}</v>
      </c>
    </row>
    <row r="577" spans="2:16" ht="15.75">
      <c r="B577" s="1" t="s">
        <v>1311</v>
      </c>
      <c r="C577" t="s">
        <v>1312</v>
      </c>
      <c r="D577">
        <v>3825</v>
      </c>
      <c r="E577">
        <v>9690</v>
      </c>
      <c r="F577">
        <v>3825</v>
      </c>
      <c r="G577" t="str">
        <f t="shared" si="72"/>
        <v>LapisLazuli</v>
      </c>
      <c r="H577" t="str">
        <f t="shared" si="73"/>
        <v>26619C</v>
      </c>
      <c r="I577" t="str">
        <f t="shared" si="74"/>
        <v>26</v>
      </c>
      <c r="J577" t="str">
        <f t="shared" si="75"/>
        <v>61</v>
      </c>
      <c r="K577" t="str">
        <f t="shared" si="76"/>
        <v>9C</v>
      </c>
      <c r="L577">
        <f t="shared" si="77"/>
        <v>38</v>
      </c>
      <c r="M577">
        <f t="shared" si="78"/>
        <v>97</v>
      </c>
      <c r="N577">
        <f t="shared" si="79"/>
        <v>156</v>
      </c>
      <c r="P577" t="str">
        <f t="shared" si="80"/>
        <v>.LapisLazuli-bg{background-color:#26619C;}</v>
      </c>
    </row>
    <row r="578" spans="2:16" ht="15.75">
      <c r="B578" s="1" t="s">
        <v>1313</v>
      </c>
      <c r="C578" t="s">
        <v>1314</v>
      </c>
      <c r="D578">
        <v>25500</v>
      </c>
      <c r="E578">
        <v>25500</v>
      </c>
      <c r="F578">
        <v>25500</v>
      </c>
      <c r="G578" t="str">
        <f t="shared" si="72"/>
        <v>LaserLemon</v>
      </c>
      <c r="H578" t="str">
        <f t="shared" si="73"/>
        <v>FFFF66</v>
      </c>
      <c r="I578" t="str">
        <f t="shared" si="74"/>
        <v>FF</v>
      </c>
      <c r="J578" t="str">
        <f t="shared" si="75"/>
        <v>FF</v>
      </c>
      <c r="K578" t="str">
        <f t="shared" si="76"/>
        <v>66</v>
      </c>
      <c r="L578">
        <f t="shared" si="77"/>
        <v>255</v>
      </c>
      <c r="M578">
        <f t="shared" si="78"/>
        <v>255</v>
      </c>
      <c r="N578">
        <f t="shared" si="79"/>
        <v>102</v>
      </c>
      <c r="P578" t="str">
        <f t="shared" si="80"/>
        <v>.LaserLemon-bg{background-color:#FFFF66;}</v>
      </c>
    </row>
    <row r="579" spans="2:16" ht="15.75">
      <c r="B579" s="1" t="s">
        <v>1315</v>
      </c>
      <c r="C579" t="s">
        <v>1316</v>
      </c>
      <c r="D579">
        <v>16830</v>
      </c>
      <c r="E579">
        <v>18615</v>
      </c>
      <c r="F579">
        <v>16830</v>
      </c>
      <c r="G579" t="str">
        <f t="shared" si="72"/>
        <v>LaurelGreen</v>
      </c>
      <c r="H579" t="str">
        <f t="shared" si="73"/>
        <v>A9BA9D</v>
      </c>
      <c r="I579" t="str">
        <f t="shared" si="74"/>
        <v>A9</v>
      </c>
      <c r="J579" t="str">
        <f t="shared" si="75"/>
        <v>BA</v>
      </c>
      <c r="K579" t="str">
        <f t="shared" si="76"/>
        <v>9D</v>
      </c>
      <c r="L579">
        <f t="shared" si="77"/>
        <v>169</v>
      </c>
      <c r="M579">
        <f t="shared" si="78"/>
        <v>186</v>
      </c>
      <c r="N579">
        <f t="shared" si="79"/>
        <v>157</v>
      </c>
      <c r="P579" t="str">
        <f t="shared" si="80"/>
        <v>.LaurelGreen-bg{background-color:#A9BA9D;}</v>
      </c>
    </row>
    <row r="580" spans="2:16" ht="15.75">
      <c r="B580" s="1" t="s">
        <v>1317</v>
      </c>
      <c r="C580" t="s">
        <v>1318</v>
      </c>
      <c r="D580">
        <v>20655</v>
      </c>
      <c r="E580">
        <v>1530</v>
      </c>
      <c r="F580">
        <v>20655</v>
      </c>
      <c r="G580" t="str">
        <f t="shared" ref="G580:G643" si="81">SUBSTITUTE(PROPER(AlphaNumericOnly(B580))," ","")</f>
        <v>Lava</v>
      </c>
      <c r="H580" t="str">
        <f t="shared" ref="H580:H643" si="82">RIGHT(C580,6)</f>
        <v>CF1020</v>
      </c>
      <c r="I580" t="str">
        <f t="shared" ref="I580:I643" si="83">MID($H580,1,2)</f>
        <v>CF</v>
      </c>
      <c r="J580" t="str">
        <f t="shared" ref="J580:J643" si="84">MID($H580,3,2)</f>
        <v>10</v>
      </c>
      <c r="K580" t="str">
        <f t="shared" ref="K580:K643" si="85">MID($H580,5,2)</f>
        <v>20</v>
      </c>
      <c r="L580">
        <f t="shared" ref="L580:L643" si="86">HEX2DEC(I580)</f>
        <v>207</v>
      </c>
      <c r="M580">
        <f t="shared" ref="M580:M643" si="87">HEX2DEC(J580)</f>
        <v>16</v>
      </c>
      <c r="N580">
        <f t="shared" ref="N580:N643" si="88">HEX2DEC(K580)</f>
        <v>32</v>
      </c>
      <c r="P580" t="str">
        <f t="shared" ref="P580:P643" si="89">"."&amp;G580&amp;$P$1&amp;"{"&amp;$P$2&amp;":#"&amp;H580&amp;";}"</f>
        <v>.Lava-bg{background-color:#CF1020;}</v>
      </c>
    </row>
    <row r="581" spans="2:16" ht="15.75">
      <c r="B581" s="1" t="s">
        <v>1319</v>
      </c>
      <c r="C581" t="s">
        <v>1320</v>
      </c>
      <c r="D581">
        <v>18105</v>
      </c>
      <c r="E581">
        <v>12495</v>
      </c>
      <c r="F581">
        <v>18105</v>
      </c>
      <c r="G581" t="str">
        <f t="shared" si="81"/>
        <v>LavenderFloral</v>
      </c>
      <c r="H581" t="str">
        <f t="shared" si="82"/>
        <v>B57EDC</v>
      </c>
      <c r="I581" t="str">
        <f t="shared" si="83"/>
        <v>B5</v>
      </c>
      <c r="J581" t="str">
        <f t="shared" si="84"/>
        <v>7E</v>
      </c>
      <c r="K581" t="str">
        <f t="shared" si="85"/>
        <v>DC</v>
      </c>
      <c r="L581">
        <f t="shared" si="86"/>
        <v>181</v>
      </c>
      <c r="M581">
        <f t="shared" si="87"/>
        <v>126</v>
      </c>
      <c r="N581">
        <f t="shared" si="88"/>
        <v>220</v>
      </c>
      <c r="P581" t="str">
        <f t="shared" si="89"/>
        <v>.LavenderFloral-bg{background-color:#B57EDC;}</v>
      </c>
    </row>
    <row r="582" spans="2:16" ht="15.75">
      <c r="B582" s="1" t="s">
        <v>1321</v>
      </c>
      <c r="C582" t="s">
        <v>1322</v>
      </c>
      <c r="D582">
        <v>22950</v>
      </c>
      <c r="E582">
        <v>22950</v>
      </c>
      <c r="F582">
        <v>22950</v>
      </c>
      <c r="G582" t="str">
        <f t="shared" si="81"/>
        <v>LavenderWeb</v>
      </c>
      <c r="H582" t="str">
        <f t="shared" si="82"/>
        <v>E6E6FA</v>
      </c>
      <c r="I582" t="str">
        <f t="shared" si="83"/>
        <v>E6</v>
      </c>
      <c r="J582" t="str">
        <f t="shared" si="84"/>
        <v>E6</v>
      </c>
      <c r="K582" t="str">
        <f t="shared" si="85"/>
        <v>FA</v>
      </c>
      <c r="L582">
        <f t="shared" si="86"/>
        <v>230</v>
      </c>
      <c r="M582">
        <f t="shared" si="87"/>
        <v>230</v>
      </c>
      <c r="N582">
        <f t="shared" si="88"/>
        <v>250</v>
      </c>
      <c r="P582" t="str">
        <f t="shared" si="89"/>
        <v>.LavenderWeb-bg{background-color:#E6E6FA;}</v>
      </c>
    </row>
    <row r="583" spans="2:16" ht="15.75">
      <c r="B583" s="1" t="s">
        <v>1323</v>
      </c>
      <c r="C583" t="s">
        <v>1324</v>
      </c>
      <c r="D583">
        <v>20400</v>
      </c>
      <c r="E583">
        <v>20400</v>
      </c>
      <c r="F583">
        <v>20400</v>
      </c>
      <c r="G583" t="str">
        <f t="shared" si="81"/>
        <v>LavenderBlue</v>
      </c>
      <c r="H583" t="str">
        <f t="shared" si="82"/>
        <v>CCCCFF</v>
      </c>
      <c r="I583" t="str">
        <f t="shared" si="83"/>
        <v>CC</v>
      </c>
      <c r="J583" t="str">
        <f t="shared" si="84"/>
        <v>CC</v>
      </c>
      <c r="K583" t="str">
        <f t="shared" si="85"/>
        <v>FF</v>
      </c>
      <c r="L583">
        <f t="shared" si="86"/>
        <v>204</v>
      </c>
      <c r="M583">
        <f t="shared" si="87"/>
        <v>204</v>
      </c>
      <c r="N583">
        <f t="shared" si="88"/>
        <v>255</v>
      </c>
      <c r="P583" t="str">
        <f t="shared" si="89"/>
        <v>.LavenderBlue-bg{background-color:#CCCCFF;}</v>
      </c>
    </row>
    <row r="584" spans="2:16" ht="15.75">
      <c r="B584" s="1" t="s">
        <v>1325</v>
      </c>
      <c r="C584" t="s">
        <v>1326</v>
      </c>
      <c r="D584">
        <v>25500</v>
      </c>
      <c r="E584">
        <v>23970</v>
      </c>
      <c r="F584">
        <v>25500</v>
      </c>
      <c r="G584" t="str">
        <f t="shared" si="81"/>
        <v>LavenderBlush</v>
      </c>
      <c r="H584" t="str">
        <f t="shared" si="82"/>
        <v>FFF0F5</v>
      </c>
      <c r="I584" t="str">
        <f t="shared" si="83"/>
        <v>FF</v>
      </c>
      <c r="J584" t="str">
        <f t="shared" si="84"/>
        <v>F0</v>
      </c>
      <c r="K584" t="str">
        <f t="shared" si="85"/>
        <v>F5</v>
      </c>
      <c r="L584">
        <f t="shared" si="86"/>
        <v>255</v>
      </c>
      <c r="M584">
        <f t="shared" si="87"/>
        <v>240</v>
      </c>
      <c r="N584">
        <f t="shared" si="88"/>
        <v>245</v>
      </c>
      <c r="P584" t="str">
        <f t="shared" si="89"/>
        <v>.LavenderBlush-bg{background-color:#FFF0F5;}</v>
      </c>
    </row>
    <row r="585" spans="2:16" ht="15.75">
      <c r="B585" s="1" t="s">
        <v>1327</v>
      </c>
      <c r="C585" t="s">
        <v>1328</v>
      </c>
      <c r="D585">
        <v>19635</v>
      </c>
      <c r="E585">
        <v>19380</v>
      </c>
      <c r="F585">
        <v>19635</v>
      </c>
      <c r="G585" t="str">
        <f t="shared" si="81"/>
        <v>LavenderGray</v>
      </c>
      <c r="H585" t="str">
        <f t="shared" si="82"/>
        <v>C4C3D0</v>
      </c>
      <c r="I585" t="str">
        <f t="shared" si="83"/>
        <v>C4</v>
      </c>
      <c r="J585" t="str">
        <f t="shared" si="84"/>
        <v>C3</v>
      </c>
      <c r="K585" t="str">
        <f t="shared" si="85"/>
        <v>D0</v>
      </c>
      <c r="L585">
        <f t="shared" si="86"/>
        <v>196</v>
      </c>
      <c r="M585">
        <f t="shared" si="87"/>
        <v>195</v>
      </c>
      <c r="N585">
        <f t="shared" si="88"/>
        <v>208</v>
      </c>
      <c r="P585" t="str">
        <f t="shared" si="89"/>
        <v>.LavenderGray-bg{background-color:#C4C3D0;}</v>
      </c>
    </row>
    <row r="586" spans="2:16" ht="15.75">
      <c r="B586" s="1" t="s">
        <v>1329</v>
      </c>
      <c r="C586" t="s">
        <v>1330</v>
      </c>
      <c r="D586">
        <v>14790</v>
      </c>
      <c r="E586">
        <v>8670</v>
      </c>
      <c r="F586">
        <v>14790</v>
      </c>
      <c r="G586" t="str">
        <f t="shared" si="81"/>
        <v>LavenderIndigo</v>
      </c>
      <c r="H586" t="str">
        <f t="shared" si="82"/>
        <v>9457EB</v>
      </c>
      <c r="I586" t="str">
        <f t="shared" si="83"/>
        <v>94</v>
      </c>
      <c r="J586" t="str">
        <f t="shared" si="84"/>
        <v>57</v>
      </c>
      <c r="K586" t="str">
        <f t="shared" si="85"/>
        <v>EB</v>
      </c>
      <c r="L586">
        <f t="shared" si="86"/>
        <v>148</v>
      </c>
      <c r="M586">
        <f t="shared" si="87"/>
        <v>87</v>
      </c>
      <c r="N586">
        <f t="shared" si="88"/>
        <v>235</v>
      </c>
      <c r="P586" t="str">
        <f t="shared" si="89"/>
        <v>.LavenderIndigo-bg{background-color:#9457EB;}</v>
      </c>
    </row>
    <row r="587" spans="2:16" ht="15.75">
      <c r="B587" s="1" t="s">
        <v>1331</v>
      </c>
      <c r="C587" t="s">
        <v>1332</v>
      </c>
      <c r="D587">
        <v>23715</v>
      </c>
      <c r="E587">
        <v>13005</v>
      </c>
      <c r="F587">
        <v>23715</v>
      </c>
      <c r="G587" t="str">
        <f t="shared" si="81"/>
        <v>LavenderMagenta</v>
      </c>
      <c r="H587" t="str">
        <f t="shared" si="82"/>
        <v>EE82EE</v>
      </c>
      <c r="I587" t="str">
        <f t="shared" si="83"/>
        <v>EE</v>
      </c>
      <c r="J587" t="str">
        <f t="shared" si="84"/>
        <v>82</v>
      </c>
      <c r="K587" t="str">
        <f t="shared" si="85"/>
        <v>EE</v>
      </c>
      <c r="L587">
        <f t="shared" si="86"/>
        <v>238</v>
      </c>
      <c r="M587">
        <f t="shared" si="87"/>
        <v>130</v>
      </c>
      <c r="N587">
        <f t="shared" si="88"/>
        <v>238</v>
      </c>
      <c r="P587" t="str">
        <f t="shared" si="89"/>
        <v>.LavenderMagenta-bg{background-color:#EE82EE;}</v>
      </c>
    </row>
    <row r="588" spans="2:16" ht="15.75">
      <c r="B588" s="1" t="s">
        <v>1333</v>
      </c>
      <c r="C588" t="s">
        <v>1322</v>
      </c>
      <c r="D588">
        <v>22950</v>
      </c>
      <c r="E588">
        <v>22950</v>
      </c>
      <c r="F588">
        <v>22950</v>
      </c>
      <c r="G588" t="str">
        <f t="shared" si="81"/>
        <v>LavenderMist</v>
      </c>
      <c r="H588" t="str">
        <f t="shared" si="82"/>
        <v>E6E6FA</v>
      </c>
      <c r="I588" t="str">
        <f t="shared" si="83"/>
        <v>E6</v>
      </c>
      <c r="J588" t="str">
        <f t="shared" si="84"/>
        <v>E6</v>
      </c>
      <c r="K588" t="str">
        <f t="shared" si="85"/>
        <v>FA</v>
      </c>
      <c r="L588">
        <f t="shared" si="86"/>
        <v>230</v>
      </c>
      <c r="M588">
        <f t="shared" si="87"/>
        <v>230</v>
      </c>
      <c r="N588">
        <f t="shared" si="88"/>
        <v>250</v>
      </c>
      <c r="P588" t="str">
        <f t="shared" si="89"/>
        <v>.LavenderMist-bg{background-color:#E6E6FA;}</v>
      </c>
    </row>
    <row r="589" spans="2:16" ht="15.75">
      <c r="B589" s="1" t="s">
        <v>1334</v>
      </c>
      <c r="C589" t="s">
        <v>1335</v>
      </c>
      <c r="D589">
        <v>24990</v>
      </c>
      <c r="E589">
        <v>17340</v>
      </c>
      <c r="F589">
        <v>24990</v>
      </c>
      <c r="G589" t="str">
        <f t="shared" si="81"/>
        <v>LavenderPink</v>
      </c>
      <c r="H589" t="str">
        <f t="shared" si="82"/>
        <v>FBAED2</v>
      </c>
      <c r="I589" t="str">
        <f t="shared" si="83"/>
        <v>FB</v>
      </c>
      <c r="J589" t="str">
        <f t="shared" si="84"/>
        <v>AE</v>
      </c>
      <c r="K589" t="str">
        <f t="shared" si="85"/>
        <v>D2</v>
      </c>
      <c r="L589">
        <f t="shared" si="86"/>
        <v>251</v>
      </c>
      <c r="M589">
        <f t="shared" si="87"/>
        <v>174</v>
      </c>
      <c r="N589">
        <f t="shared" si="88"/>
        <v>210</v>
      </c>
      <c r="P589" t="str">
        <f t="shared" si="89"/>
        <v>.LavenderPink-bg{background-color:#FBAED2;}</v>
      </c>
    </row>
    <row r="590" spans="2:16" ht="15.75">
      <c r="B590" s="1" t="s">
        <v>1336</v>
      </c>
      <c r="C590" t="s">
        <v>1337</v>
      </c>
      <c r="D590">
        <v>15045</v>
      </c>
      <c r="E590">
        <v>12240</v>
      </c>
      <c r="F590">
        <v>15045</v>
      </c>
      <c r="G590" t="str">
        <f t="shared" si="81"/>
        <v>LavenderPurple</v>
      </c>
      <c r="H590" t="str">
        <f t="shared" si="82"/>
        <v>967BB6</v>
      </c>
      <c r="I590" t="str">
        <f t="shared" si="83"/>
        <v>96</v>
      </c>
      <c r="J590" t="str">
        <f t="shared" si="84"/>
        <v>7B</v>
      </c>
      <c r="K590" t="str">
        <f t="shared" si="85"/>
        <v>B6</v>
      </c>
      <c r="L590">
        <f t="shared" si="86"/>
        <v>150</v>
      </c>
      <c r="M590">
        <f t="shared" si="87"/>
        <v>123</v>
      </c>
      <c r="N590">
        <f t="shared" si="88"/>
        <v>182</v>
      </c>
      <c r="P590" t="str">
        <f t="shared" si="89"/>
        <v>.LavenderPurple-bg{background-color:#967BB6;}</v>
      </c>
    </row>
    <row r="591" spans="2:16" ht="15.75">
      <c r="B591" s="1" t="s">
        <v>1338</v>
      </c>
      <c r="C591" t="s">
        <v>1339</v>
      </c>
      <c r="D591">
        <v>24990</v>
      </c>
      <c r="E591">
        <v>16065</v>
      </c>
      <c r="F591">
        <v>24990</v>
      </c>
      <c r="G591" t="str">
        <f t="shared" si="81"/>
        <v>LavenderRose</v>
      </c>
      <c r="H591" t="str">
        <f t="shared" si="82"/>
        <v>FBA0E3</v>
      </c>
      <c r="I591" t="str">
        <f t="shared" si="83"/>
        <v>FB</v>
      </c>
      <c r="J591" t="str">
        <f t="shared" si="84"/>
        <v>A0</v>
      </c>
      <c r="K591" t="str">
        <f t="shared" si="85"/>
        <v>E3</v>
      </c>
      <c r="L591">
        <f t="shared" si="86"/>
        <v>251</v>
      </c>
      <c r="M591">
        <f t="shared" si="87"/>
        <v>160</v>
      </c>
      <c r="N591">
        <f t="shared" si="88"/>
        <v>227</v>
      </c>
      <c r="P591" t="str">
        <f t="shared" si="89"/>
        <v>.LavenderRose-bg{background-color:#FBA0E3;}</v>
      </c>
    </row>
    <row r="592" spans="2:16" ht="15.75">
      <c r="B592" s="1" t="s">
        <v>1340</v>
      </c>
      <c r="C592" t="s">
        <v>1341</v>
      </c>
      <c r="D592">
        <v>12495</v>
      </c>
      <c r="E592">
        <v>25245</v>
      </c>
      <c r="F592">
        <v>12495</v>
      </c>
      <c r="G592" t="str">
        <f t="shared" si="81"/>
        <v>LawnGreen</v>
      </c>
      <c r="H592" t="str">
        <f t="shared" si="82"/>
        <v>7CFC00</v>
      </c>
      <c r="I592" t="str">
        <f t="shared" si="83"/>
        <v>7C</v>
      </c>
      <c r="J592" t="str">
        <f t="shared" si="84"/>
        <v>FC</v>
      </c>
      <c r="K592" t="str">
        <f t="shared" si="85"/>
        <v>00</v>
      </c>
      <c r="L592">
        <f t="shared" si="86"/>
        <v>124</v>
      </c>
      <c r="M592">
        <f t="shared" si="87"/>
        <v>252</v>
      </c>
      <c r="N592">
        <f t="shared" si="88"/>
        <v>0</v>
      </c>
      <c r="P592" t="str">
        <f t="shared" si="89"/>
        <v>.LawnGreen-bg{background-color:#7CFC00;}</v>
      </c>
    </row>
    <row r="593" spans="2:16" ht="15.75">
      <c r="B593" s="1" t="s">
        <v>1342</v>
      </c>
      <c r="C593" t="s">
        <v>1343</v>
      </c>
      <c r="D593">
        <v>25500</v>
      </c>
      <c r="E593">
        <v>24735</v>
      </c>
      <c r="F593">
        <v>25500</v>
      </c>
      <c r="G593" t="str">
        <f t="shared" si="81"/>
        <v>Lemon</v>
      </c>
      <c r="H593" t="str">
        <f t="shared" si="82"/>
        <v>FFF700</v>
      </c>
      <c r="I593" t="str">
        <f t="shared" si="83"/>
        <v>FF</v>
      </c>
      <c r="J593" t="str">
        <f t="shared" si="84"/>
        <v>F7</v>
      </c>
      <c r="K593" t="str">
        <f t="shared" si="85"/>
        <v>00</v>
      </c>
      <c r="L593">
        <f t="shared" si="86"/>
        <v>255</v>
      </c>
      <c r="M593">
        <f t="shared" si="87"/>
        <v>247</v>
      </c>
      <c r="N593">
        <f t="shared" si="88"/>
        <v>0</v>
      </c>
      <c r="P593" t="str">
        <f t="shared" si="89"/>
        <v>.Lemon-bg{background-color:#FFF700;}</v>
      </c>
    </row>
    <row r="594" spans="2:16" ht="15.75">
      <c r="B594" s="1" t="s">
        <v>1344</v>
      </c>
      <c r="C594" t="s">
        <v>1345</v>
      </c>
      <c r="D594">
        <v>25500</v>
      </c>
      <c r="E594">
        <v>24990</v>
      </c>
      <c r="F594">
        <v>25500</v>
      </c>
      <c r="G594" t="str">
        <f t="shared" si="81"/>
        <v>LemonChiffon</v>
      </c>
      <c r="H594" t="str">
        <f t="shared" si="82"/>
        <v>FFFACD</v>
      </c>
      <c r="I594" t="str">
        <f t="shared" si="83"/>
        <v>FF</v>
      </c>
      <c r="J594" t="str">
        <f t="shared" si="84"/>
        <v>FA</v>
      </c>
      <c r="K594" t="str">
        <f t="shared" si="85"/>
        <v>CD</v>
      </c>
      <c r="L594">
        <f t="shared" si="86"/>
        <v>255</v>
      </c>
      <c r="M594">
        <f t="shared" si="87"/>
        <v>250</v>
      </c>
      <c r="N594">
        <f t="shared" si="88"/>
        <v>205</v>
      </c>
      <c r="P594" t="str">
        <f t="shared" si="89"/>
        <v>.LemonChiffon-bg{background-color:#FFFACD;}</v>
      </c>
    </row>
    <row r="595" spans="2:16" ht="15.75">
      <c r="B595" s="1" t="s">
        <v>1346</v>
      </c>
      <c r="C595" t="s">
        <v>1347</v>
      </c>
      <c r="D595">
        <v>20400</v>
      </c>
      <c r="E595">
        <v>16065</v>
      </c>
      <c r="F595">
        <v>20400</v>
      </c>
      <c r="G595" t="str">
        <f t="shared" si="81"/>
        <v>LemonCurry</v>
      </c>
      <c r="H595" t="str">
        <f t="shared" si="82"/>
        <v>CCA01D</v>
      </c>
      <c r="I595" t="str">
        <f t="shared" si="83"/>
        <v>CC</v>
      </c>
      <c r="J595" t="str">
        <f t="shared" si="84"/>
        <v>A0</v>
      </c>
      <c r="K595" t="str">
        <f t="shared" si="85"/>
        <v>1D</v>
      </c>
      <c r="L595">
        <f t="shared" si="86"/>
        <v>204</v>
      </c>
      <c r="M595">
        <f t="shared" si="87"/>
        <v>160</v>
      </c>
      <c r="N595">
        <f t="shared" si="88"/>
        <v>29</v>
      </c>
      <c r="P595" t="str">
        <f t="shared" si="89"/>
        <v>.LemonCurry-bg{background-color:#CCA01D;}</v>
      </c>
    </row>
    <row r="596" spans="2:16" ht="15.75">
      <c r="B596" s="1" t="s">
        <v>1348</v>
      </c>
      <c r="C596" t="s">
        <v>1349</v>
      </c>
      <c r="D596">
        <v>25245</v>
      </c>
      <c r="E596">
        <v>25500</v>
      </c>
      <c r="F596">
        <v>25245</v>
      </c>
      <c r="G596" t="str">
        <f t="shared" si="81"/>
        <v>LemonGlacier</v>
      </c>
      <c r="H596" t="str">
        <f t="shared" si="82"/>
        <v>FDFF00</v>
      </c>
      <c r="I596" t="str">
        <f t="shared" si="83"/>
        <v>FD</v>
      </c>
      <c r="J596" t="str">
        <f t="shared" si="84"/>
        <v>FF</v>
      </c>
      <c r="K596" t="str">
        <f t="shared" si="85"/>
        <v>00</v>
      </c>
      <c r="L596">
        <f t="shared" si="86"/>
        <v>253</v>
      </c>
      <c r="M596">
        <f t="shared" si="87"/>
        <v>255</v>
      </c>
      <c r="N596">
        <f t="shared" si="88"/>
        <v>0</v>
      </c>
      <c r="P596" t="str">
        <f t="shared" si="89"/>
        <v>.LemonGlacier-bg{background-color:#FDFF00;}</v>
      </c>
    </row>
    <row r="597" spans="2:16" ht="15.75">
      <c r="B597" s="1" t="s">
        <v>1350</v>
      </c>
      <c r="C597" t="s">
        <v>1351</v>
      </c>
      <c r="D597">
        <v>22695</v>
      </c>
      <c r="E597">
        <v>25500</v>
      </c>
      <c r="F597">
        <v>22695</v>
      </c>
      <c r="G597" t="str">
        <f t="shared" si="81"/>
        <v>LemonLime</v>
      </c>
      <c r="H597" t="str">
        <f t="shared" si="82"/>
        <v>E3FF00</v>
      </c>
      <c r="I597" t="str">
        <f t="shared" si="83"/>
        <v>E3</v>
      </c>
      <c r="J597" t="str">
        <f t="shared" si="84"/>
        <v>FF</v>
      </c>
      <c r="K597" t="str">
        <f t="shared" si="85"/>
        <v>00</v>
      </c>
      <c r="L597">
        <f t="shared" si="86"/>
        <v>227</v>
      </c>
      <c r="M597">
        <f t="shared" si="87"/>
        <v>255</v>
      </c>
      <c r="N597">
        <f t="shared" si="88"/>
        <v>0</v>
      </c>
      <c r="P597" t="str">
        <f t="shared" si="89"/>
        <v>.LemonLime-bg{background-color:#E3FF00;}</v>
      </c>
    </row>
    <row r="598" spans="2:16" ht="15.75">
      <c r="B598" s="1" t="s">
        <v>1352</v>
      </c>
      <c r="C598" t="s">
        <v>1353</v>
      </c>
      <c r="D598">
        <v>24480</v>
      </c>
      <c r="E598">
        <v>23460</v>
      </c>
      <c r="F598">
        <v>24480</v>
      </c>
      <c r="G598" t="str">
        <f t="shared" si="81"/>
        <v>LemonMeringue</v>
      </c>
      <c r="H598" t="str">
        <f t="shared" si="82"/>
        <v>F6EABE</v>
      </c>
      <c r="I598" t="str">
        <f t="shared" si="83"/>
        <v>F6</v>
      </c>
      <c r="J598" t="str">
        <f t="shared" si="84"/>
        <v>EA</v>
      </c>
      <c r="K598" t="str">
        <f t="shared" si="85"/>
        <v>BE</v>
      </c>
      <c r="L598">
        <f t="shared" si="86"/>
        <v>246</v>
      </c>
      <c r="M598">
        <f t="shared" si="87"/>
        <v>234</v>
      </c>
      <c r="N598">
        <f t="shared" si="88"/>
        <v>190</v>
      </c>
      <c r="P598" t="str">
        <f t="shared" si="89"/>
        <v>.LemonMeringue-bg{background-color:#F6EABE;}</v>
      </c>
    </row>
    <row r="599" spans="2:16" ht="15.75">
      <c r="B599" s="1" t="s">
        <v>1354</v>
      </c>
      <c r="C599" t="s">
        <v>1355</v>
      </c>
      <c r="D599">
        <v>25500</v>
      </c>
      <c r="E599">
        <v>24480</v>
      </c>
      <c r="F599">
        <v>25500</v>
      </c>
      <c r="G599" t="str">
        <f t="shared" si="81"/>
        <v>LemonYellow</v>
      </c>
      <c r="H599" t="str">
        <f t="shared" si="82"/>
        <v>FFF44F</v>
      </c>
      <c r="I599" t="str">
        <f t="shared" si="83"/>
        <v>FF</v>
      </c>
      <c r="J599" t="str">
        <f t="shared" si="84"/>
        <v>F4</v>
      </c>
      <c r="K599" t="str">
        <f t="shared" si="85"/>
        <v>4F</v>
      </c>
      <c r="L599">
        <f t="shared" si="86"/>
        <v>255</v>
      </c>
      <c r="M599">
        <f t="shared" si="87"/>
        <v>244</v>
      </c>
      <c r="N599">
        <f t="shared" si="88"/>
        <v>79</v>
      </c>
      <c r="P599" t="str">
        <f t="shared" si="89"/>
        <v>.LemonYellow-bg{background-color:#FFF44F;}</v>
      </c>
    </row>
    <row r="600" spans="2:16" ht="15.75">
      <c r="B600" s="1" t="s">
        <v>1356</v>
      </c>
      <c r="C600" t="s">
        <v>1357</v>
      </c>
      <c r="D600">
        <v>18615</v>
      </c>
      <c r="E600">
        <v>14790</v>
      </c>
      <c r="F600">
        <v>18615</v>
      </c>
      <c r="G600" t="str">
        <f t="shared" si="81"/>
        <v>Lenurple</v>
      </c>
      <c r="H600" t="str">
        <f t="shared" si="82"/>
        <v>BA93D8</v>
      </c>
      <c r="I600" t="str">
        <f t="shared" si="83"/>
        <v>BA</v>
      </c>
      <c r="J600" t="str">
        <f t="shared" si="84"/>
        <v>93</v>
      </c>
      <c r="K600" t="str">
        <f t="shared" si="85"/>
        <v>D8</v>
      </c>
      <c r="L600">
        <f t="shared" si="86"/>
        <v>186</v>
      </c>
      <c r="M600">
        <f t="shared" si="87"/>
        <v>147</v>
      </c>
      <c r="N600">
        <f t="shared" si="88"/>
        <v>216</v>
      </c>
      <c r="P600" t="str">
        <f t="shared" si="89"/>
        <v>.Lenurple-bg{background-color:#BA93D8;}</v>
      </c>
    </row>
    <row r="601" spans="2:16" ht="15.75">
      <c r="B601" s="1" t="s">
        <v>1358</v>
      </c>
      <c r="C601" t="s">
        <v>1359</v>
      </c>
      <c r="D601">
        <v>2550</v>
      </c>
      <c r="E601">
        <v>1785</v>
      </c>
      <c r="F601">
        <v>2550</v>
      </c>
      <c r="G601" t="str">
        <f t="shared" si="81"/>
        <v>Licorice</v>
      </c>
      <c r="H601" t="str">
        <f t="shared" si="82"/>
        <v>1A1110</v>
      </c>
      <c r="I601" t="str">
        <f t="shared" si="83"/>
        <v>1A</v>
      </c>
      <c r="J601" t="str">
        <f t="shared" si="84"/>
        <v>11</v>
      </c>
      <c r="K601" t="str">
        <f t="shared" si="85"/>
        <v>10</v>
      </c>
      <c r="L601">
        <f t="shared" si="86"/>
        <v>26</v>
      </c>
      <c r="M601">
        <f t="shared" si="87"/>
        <v>17</v>
      </c>
      <c r="N601">
        <f t="shared" si="88"/>
        <v>16</v>
      </c>
      <c r="P601" t="str">
        <f t="shared" si="89"/>
        <v>.Licorice-bg{background-color:#1A1110;}</v>
      </c>
    </row>
    <row r="602" spans="2:16" ht="15.75">
      <c r="B602" s="1" t="s">
        <v>1360</v>
      </c>
      <c r="C602" t="s">
        <v>1361</v>
      </c>
      <c r="D602">
        <v>8415</v>
      </c>
      <c r="E602">
        <v>8925</v>
      </c>
      <c r="F602">
        <v>8415</v>
      </c>
      <c r="G602" t="str">
        <f t="shared" si="81"/>
        <v>Liberty</v>
      </c>
      <c r="H602" t="str">
        <f t="shared" si="82"/>
        <v>545AA7</v>
      </c>
      <c r="I602" t="str">
        <f t="shared" si="83"/>
        <v>54</v>
      </c>
      <c r="J602" t="str">
        <f t="shared" si="84"/>
        <v>5A</v>
      </c>
      <c r="K602" t="str">
        <f t="shared" si="85"/>
        <v>A7</v>
      </c>
      <c r="L602">
        <f t="shared" si="86"/>
        <v>84</v>
      </c>
      <c r="M602">
        <f t="shared" si="87"/>
        <v>90</v>
      </c>
      <c r="N602">
        <f t="shared" si="88"/>
        <v>167</v>
      </c>
      <c r="P602" t="str">
        <f t="shared" si="89"/>
        <v>.Liberty-bg{background-color:#545AA7;}</v>
      </c>
    </row>
    <row r="603" spans="2:16" ht="15.75">
      <c r="B603" s="1" t="s">
        <v>1362</v>
      </c>
      <c r="C603" t="s">
        <v>1009</v>
      </c>
      <c r="D603">
        <v>25245</v>
      </c>
      <c r="E603">
        <v>21420</v>
      </c>
      <c r="F603">
        <v>25245</v>
      </c>
      <c r="G603" t="str">
        <f t="shared" si="81"/>
        <v>LightApricot</v>
      </c>
      <c r="H603" t="str">
        <f t="shared" si="82"/>
        <v>FDD5B1</v>
      </c>
      <c r="I603" t="str">
        <f t="shared" si="83"/>
        <v>FD</v>
      </c>
      <c r="J603" t="str">
        <f t="shared" si="84"/>
        <v>D5</v>
      </c>
      <c r="K603" t="str">
        <f t="shared" si="85"/>
        <v>B1</v>
      </c>
      <c r="L603">
        <f t="shared" si="86"/>
        <v>253</v>
      </c>
      <c r="M603">
        <f t="shared" si="87"/>
        <v>213</v>
      </c>
      <c r="N603">
        <f t="shared" si="88"/>
        <v>177</v>
      </c>
      <c r="P603" t="str">
        <f t="shared" si="89"/>
        <v>.LightApricot-bg{background-color:#FDD5B1;}</v>
      </c>
    </row>
    <row r="604" spans="2:16" ht="15.75">
      <c r="B604" s="1" t="s">
        <v>1363</v>
      </c>
      <c r="C604" t="s">
        <v>1364</v>
      </c>
      <c r="D604">
        <v>17340</v>
      </c>
      <c r="E604">
        <v>21675</v>
      </c>
      <c r="F604">
        <v>17340</v>
      </c>
      <c r="G604" t="str">
        <f t="shared" si="81"/>
        <v>LightBlue</v>
      </c>
      <c r="H604" t="str">
        <f t="shared" si="82"/>
        <v>ADD8E6</v>
      </c>
      <c r="I604" t="str">
        <f t="shared" si="83"/>
        <v>AD</v>
      </c>
      <c r="J604" t="str">
        <f t="shared" si="84"/>
        <v>D8</v>
      </c>
      <c r="K604" t="str">
        <f t="shared" si="85"/>
        <v>E6</v>
      </c>
      <c r="L604">
        <f t="shared" si="86"/>
        <v>173</v>
      </c>
      <c r="M604">
        <f t="shared" si="87"/>
        <v>216</v>
      </c>
      <c r="N604">
        <f t="shared" si="88"/>
        <v>230</v>
      </c>
      <c r="P604" t="str">
        <f t="shared" si="89"/>
        <v>.LightBlue-bg{background-color:#ADD8E6;}</v>
      </c>
    </row>
    <row r="605" spans="2:16" ht="15.75">
      <c r="B605" s="1" t="s">
        <v>1365</v>
      </c>
      <c r="C605" t="s">
        <v>1366</v>
      </c>
      <c r="D605">
        <v>25500</v>
      </c>
      <c r="E605">
        <v>4590</v>
      </c>
      <c r="F605">
        <v>25500</v>
      </c>
      <c r="G605" t="str">
        <f t="shared" si="81"/>
        <v>LightBrilliantRed</v>
      </c>
      <c r="H605" t="str">
        <f t="shared" si="82"/>
        <v>FE2E2E</v>
      </c>
      <c r="I605" t="str">
        <f t="shared" si="83"/>
        <v>FE</v>
      </c>
      <c r="J605" t="str">
        <f t="shared" si="84"/>
        <v>2E</v>
      </c>
      <c r="K605" t="str">
        <f t="shared" si="85"/>
        <v>2E</v>
      </c>
      <c r="L605">
        <f t="shared" si="86"/>
        <v>254</v>
      </c>
      <c r="M605">
        <f t="shared" si="87"/>
        <v>46</v>
      </c>
      <c r="N605">
        <f t="shared" si="88"/>
        <v>46</v>
      </c>
      <c r="P605" t="str">
        <f t="shared" si="89"/>
        <v>.LightBrilliantRed-bg{background-color:#FE2E2E;}</v>
      </c>
    </row>
    <row r="606" spans="2:16" ht="15.75">
      <c r="B606" s="1" t="s">
        <v>1367</v>
      </c>
      <c r="C606" t="s">
        <v>1368</v>
      </c>
      <c r="D606">
        <v>18105</v>
      </c>
      <c r="E606">
        <v>10200</v>
      </c>
      <c r="F606">
        <v>18105</v>
      </c>
      <c r="G606" t="str">
        <f t="shared" si="81"/>
        <v>LightBrown</v>
      </c>
      <c r="H606" t="str">
        <f t="shared" si="82"/>
        <v>B5651D</v>
      </c>
      <c r="I606" t="str">
        <f t="shared" si="83"/>
        <v>B5</v>
      </c>
      <c r="J606" t="str">
        <f t="shared" si="84"/>
        <v>65</v>
      </c>
      <c r="K606" t="str">
        <f t="shared" si="85"/>
        <v>1D</v>
      </c>
      <c r="L606">
        <f t="shared" si="86"/>
        <v>181</v>
      </c>
      <c r="M606">
        <f t="shared" si="87"/>
        <v>101</v>
      </c>
      <c r="N606">
        <f t="shared" si="88"/>
        <v>29</v>
      </c>
      <c r="P606" t="str">
        <f t="shared" si="89"/>
        <v>.LightBrown-bg{background-color:#B5651D;}</v>
      </c>
    </row>
    <row r="607" spans="2:16" ht="15.75">
      <c r="B607" s="1" t="s">
        <v>1369</v>
      </c>
      <c r="C607" t="s">
        <v>1370</v>
      </c>
      <c r="D607">
        <v>22950</v>
      </c>
      <c r="E607">
        <v>10200</v>
      </c>
      <c r="F607">
        <v>22950</v>
      </c>
      <c r="G607" t="str">
        <f t="shared" si="81"/>
        <v>LightCarminePink</v>
      </c>
      <c r="H607" t="str">
        <f t="shared" si="82"/>
        <v>E66771</v>
      </c>
      <c r="I607" t="str">
        <f t="shared" si="83"/>
        <v>E6</v>
      </c>
      <c r="J607" t="str">
        <f t="shared" si="84"/>
        <v>67</v>
      </c>
      <c r="K607" t="str">
        <f t="shared" si="85"/>
        <v>71</v>
      </c>
      <c r="L607">
        <f t="shared" si="86"/>
        <v>230</v>
      </c>
      <c r="M607">
        <f t="shared" si="87"/>
        <v>103</v>
      </c>
      <c r="N607">
        <f t="shared" si="88"/>
        <v>113</v>
      </c>
      <c r="P607" t="str">
        <f t="shared" si="89"/>
        <v>.LightCarminePink-bg{background-color:#E66771;}</v>
      </c>
    </row>
    <row r="608" spans="2:16" ht="15.75">
      <c r="B608" s="1" t="s">
        <v>1371</v>
      </c>
      <c r="C608" t="s">
        <v>1372</v>
      </c>
      <c r="D608">
        <v>13515</v>
      </c>
      <c r="E608">
        <v>17085</v>
      </c>
      <c r="F608">
        <v>13515</v>
      </c>
      <c r="G608" t="str">
        <f t="shared" si="81"/>
        <v>LightCobaltBlue</v>
      </c>
      <c r="H608" t="str">
        <f t="shared" si="82"/>
        <v>88ACE0</v>
      </c>
      <c r="I608" t="str">
        <f t="shared" si="83"/>
        <v>88</v>
      </c>
      <c r="J608" t="str">
        <f t="shared" si="84"/>
        <v>AC</v>
      </c>
      <c r="K608" t="str">
        <f t="shared" si="85"/>
        <v>E0</v>
      </c>
      <c r="L608">
        <f t="shared" si="86"/>
        <v>136</v>
      </c>
      <c r="M608">
        <f t="shared" si="87"/>
        <v>172</v>
      </c>
      <c r="N608">
        <f t="shared" si="88"/>
        <v>224</v>
      </c>
      <c r="P608" t="str">
        <f t="shared" si="89"/>
        <v>.LightCobaltBlue-bg{background-color:#88ACE0;}</v>
      </c>
    </row>
    <row r="609" spans="2:16" ht="15.75">
      <c r="B609" s="1" t="s">
        <v>1373</v>
      </c>
      <c r="C609" t="s">
        <v>1374</v>
      </c>
      <c r="D609">
        <v>23970</v>
      </c>
      <c r="E609">
        <v>12750</v>
      </c>
      <c r="F609">
        <v>23970</v>
      </c>
      <c r="G609" t="str">
        <f t="shared" si="81"/>
        <v>LightCoral</v>
      </c>
      <c r="H609" t="str">
        <f t="shared" si="82"/>
        <v>F08080</v>
      </c>
      <c r="I609" t="str">
        <f t="shared" si="83"/>
        <v>F0</v>
      </c>
      <c r="J609" t="str">
        <f t="shared" si="84"/>
        <v>80</v>
      </c>
      <c r="K609" t="str">
        <f t="shared" si="85"/>
        <v>80</v>
      </c>
      <c r="L609">
        <f t="shared" si="86"/>
        <v>240</v>
      </c>
      <c r="M609">
        <f t="shared" si="87"/>
        <v>128</v>
      </c>
      <c r="N609">
        <f t="shared" si="88"/>
        <v>128</v>
      </c>
      <c r="P609" t="str">
        <f t="shared" si="89"/>
        <v>.LightCoral-bg{background-color:#F08080;}</v>
      </c>
    </row>
    <row r="610" spans="2:16" ht="15.75">
      <c r="B610" s="1" t="s">
        <v>1375</v>
      </c>
      <c r="C610" t="s">
        <v>1376</v>
      </c>
      <c r="D610">
        <v>14790</v>
      </c>
      <c r="E610">
        <v>20400</v>
      </c>
      <c r="F610">
        <v>14790</v>
      </c>
      <c r="G610" t="str">
        <f t="shared" si="81"/>
        <v>LightCornflowerBlue</v>
      </c>
      <c r="H610" t="str">
        <f t="shared" si="82"/>
        <v>93CCEA</v>
      </c>
      <c r="I610" t="str">
        <f t="shared" si="83"/>
        <v>93</v>
      </c>
      <c r="J610" t="str">
        <f t="shared" si="84"/>
        <v>CC</v>
      </c>
      <c r="K610" t="str">
        <f t="shared" si="85"/>
        <v>EA</v>
      </c>
      <c r="L610">
        <f t="shared" si="86"/>
        <v>147</v>
      </c>
      <c r="M610">
        <f t="shared" si="87"/>
        <v>204</v>
      </c>
      <c r="N610">
        <f t="shared" si="88"/>
        <v>234</v>
      </c>
      <c r="P610" t="str">
        <f t="shared" si="89"/>
        <v>.LightCornflowerBlue-bg{background-color:#93CCEA;}</v>
      </c>
    </row>
    <row r="611" spans="2:16" ht="15.75">
      <c r="B611" s="1" t="s">
        <v>1377</v>
      </c>
      <c r="C611" t="s">
        <v>1378</v>
      </c>
      <c r="D611">
        <v>24480</v>
      </c>
      <c r="E611">
        <v>10455</v>
      </c>
      <c r="F611">
        <v>24480</v>
      </c>
      <c r="G611" t="str">
        <f t="shared" si="81"/>
        <v>LightCrimson</v>
      </c>
      <c r="H611" t="str">
        <f t="shared" si="82"/>
        <v>F56991</v>
      </c>
      <c r="I611" t="str">
        <f t="shared" si="83"/>
        <v>F5</v>
      </c>
      <c r="J611" t="str">
        <f t="shared" si="84"/>
        <v>69</v>
      </c>
      <c r="K611" t="str">
        <f t="shared" si="85"/>
        <v>91</v>
      </c>
      <c r="L611">
        <f t="shared" si="86"/>
        <v>245</v>
      </c>
      <c r="M611">
        <f t="shared" si="87"/>
        <v>105</v>
      </c>
      <c r="N611">
        <f t="shared" si="88"/>
        <v>145</v>
      </c>
      <c r="P611" t="str">
        <f t="shared" si="89"/>
        <v>.LightCrimson-bg{background-color:#F56991;}</v>
      </c>
    </row>
    <row r="612" spans="2:16" ht="15.75">
      <c r="B612" s="1" t="s">
        <v>1379</v>
      </c>
      <c r="C612" t="s">
        <v>1380</v>
      </c>
      <c r="D612">
        <v>22440</v>
      </c>
      <c r="E612">
        <v>25500</v>
      </c>
      <c r="F612">
        <v>22440</v>
      </c>
      <c r="G612" t="str">
        <f t="shared" si="81"/>
        <v>LightCyan</v>
      </c>
      <c r="H612" t="str">
        <f t="shared" si="82"/>
        <v>E0FFFF</v>
      </c>
      <c r="I612" t="str">
        <f t="shared" si="83"/>
        <v>E0</v>
      </c>
      <c r="J612" t="str">
        <f t="shared" si="84"/>
        <v>FF</v>
      </c>
      <c r="K612" t="str">
        <f t="shared" si="85"/>
        <v>FF</v>
      </c>
      <c r="L612">
        <f t="shared" si="86"/>
        <v>224</v>
      </c>
      <c r="M612">
        <f t="shared" si="87"/>
        <v>255</v>
      </c>
      <c r="N612">
        <f t="shared" si="88"/>
        <v>255</v>
      </c>
      <c r="P612" t="str">
        <f t="shared" si="89"/>
        <v>.LightCyan-bg{background-color:#E0FFFF;}</v>
      </c>
    </row>
    <row r="613" spans="2:16" ht="15.75">
      <c r="B613" s="1" t="s">
        <v>1381</v>
      </c>
      <c r="C613" t="s">
        <v>1382</v>
      </c>
      <c r="D613">
        <v>25500</v>
      </c>
      <c r="E613">
        <v>9180</v>
      </c>
      <c r="F613">
        <v>25500</v>
      </c>
      <c r="G613" t="str">
        <f t="shared" si="81"/>
        <v>LightDeepPink</v>
      </c>
      <c r="H613" t="str">
        <f t="shared" si="82"/>
        <v>FF5CCD</v>
      </c>
      <c r="I613" t="str">
        <f t="shared" si="83"/>
        <v>FF</v>
      </c>
      <c r="J613" t="str">
        <f t="shared" si="84"/>
        <v>5C</v>
      </c>
      <c r="K613" t="str">
        <f t="shared" si="85"/>
        <v>CD</v>
      </c>
      <c r="L613">
        <f t="shared" si="86"/>
        <v>255</v>
      </c>
      <c r="M613">
        <f t="shared" si="87"/>
        <v>92</v>
      </c>
      <c r="N613">
        <f t="shared" si="88"/>
        <v>205</v>
      </c>
      <c r="P613" t="str">
        <f t="shared" si="89"/>
        <v>.LightDeepPink-bg{background-color:#FF5CCD;}</v>
      </c>
    </row>
    <row r="614" spans="2:16" ht="15.75">
      <c r="B614" s="1" t="s">
        <v>1383</v>
      </c>
      <c r="C614" t="s">
        <v>1384</v>
      </c>
      <c r="D614">
        <v>19890</v>
      </c>
      <c r="E614">
        <v>17340</v>
      </c>
      <c r="F614">
        <v>19890</v>
      </c>
      <c r="G614" t="str">
        <f t="shared" si="81"/>
        <v>LightFrenchBeige</v>
      </c>
      <c r="H614" t="str">
        <f t="shared" si="82"/>
        <v>C8AD7F</v>
      </c>
      <c r="I614" t="str">
        <f t="shared" si="83"/>
        <v>C8</v>
      </c>
      <c r="J614" t="str">
        <f t="shared" si="84"/>
        <v>AD</v>
      </c>
      <c r="K614" t="str">
        <f t="shared" si="85"/>
        <v>7F</v>
      </c>
      <c r="L614">
        <f t="shared" si="86"/>
        <v>200</v>
      </c>
      <c r="M614">
        <f t="shared" si="87"/>
        <v>173</v>
      </c>
      <c r="N614">
        <f t="shared" si="88"/>
        <v>127</v>
      </c>
      <c r="P614" t="str">
        <f t="shared" si="89"/>
        <v>.LightFrenchBeige-bg{background-color:#C8AD7F;}</v>
      </c>
    </row>
    <row r="615" spans="2:16" ht="15.75">
      <c r="B615" s="1" t="s">
        <v>1385</v>
      </c>
      <c r="C615" t="s">
        <v>1386</v>
      </c>
      <c r="D615">
        <v>24990</v>
      </c>
      <c r="E615">
        <v>13260</v>
      </c>
      <c r="F615">
        <v>24990</v>
      </c>
      <c r="G615" t="str">
        <f t="shared" si="81"/>
        <v>LightFuchsiaPink</v>
      </c>
      <c r="H615" t="str">
        <f t="shared" si="82"/>
        <v>F984EF</v>
      </c>
      <c r="I615" t="str">
        <f t="shared" si="83"/>
        <v>F9</v>
      </c>
      <c r="J615" t="str">
        <f t="shared" si="84"/>
        <v>84</v>
      </c>
      <c r="K615" t="str">
        <f t="shared" si="85"/>
        <v>EF</v>
      </c>
      <c r="L615">
        <f t="shared" si="86"/>
        <v>249</v>
      </c>
      <c r="M615">
        <f t="shared" si="87"/>
        <v>132</v>
      </c>
      <c r="N615">
        <f t="shared" si="88"/>
        <v>239</v>
      </c>
      <c r="P615" t="str">
        <f t="shared" si="89"/>
        <v>.LightFuchsiaPink-bg{background-color:#F984EF;}</v>
      </c>
    </row>
    <row r="616" spans="2:16" ht="15.75">
      <c r="B616" s="1" t="s">
        <v>1387</v>
      </c>
      <c r="C616" t="s">
        <v>1388</v>
      </c>
      <c r="D616">
        <v>24990</v>
      </c>
      <c r="E616">
        <v>24990</v>
      </c>
      <c r="F616">
        <v>24990</v>
      </c>
      <c r="G616" t="str">
        <f t="shared" si="81"/>
        <v>LightGoldenrodYellow</v>
      </c>
      <c r="H616" t="str">
        <f t="shared" si="82"/>
        <v>FAFAD2</v>
      </c>
      <c r="I616" t="str">
        <f t="shared" si="83"/>
        <v>FA</v>
      </c>
      <c r="J616" t="str">
        <f t="shared" si="84"/>
        <v>FA</v>
      </c>
      <c r="K616" t="str">
        <f t="shared" si="85"/>
        <v>D2</v>
      </c>
      <c r="L616">
        <f t="shared" si="86"/>
        <v>250</v>
      </c>
      <c r="M616">
        <f t="shared" si="87"/>
        <v>250</v>
      </c>
      <c r="N616">
        <f t="shared" si="88"/>
        <v>210</v>
      </c>
      <c r="P616" t="str">
        <f t="shared" si="89"/>
        <v>.LightGoldenrodYellow-bg{background-color:#FAFAD2;}</v>
      </c>
    </row>
    <row r="617" spans="2:16" ht="15.75">
      <c r="B617" s="1" t="s">
        <v>1389</v>
      </c>
      <c r="C617" t="s">
        <v>1390</v>
      </c>
      <c r="D617">
        <v>21165</v>
      </c>
      <c r="E617">
        <v>21165</v>
      </c>
      <c r="F617">
        <v>21165</v>
      </c>
      <c r="G617" t="str">
        <f t="shared" si="81"/>
        <v>LightGray</v>
      </c>
      <c r="H617" t="str">
        <f t="shared" si="82"/>
        <v>D3D3D3</v>
      </c>
      <c r="I617" t="str">
        <f t="shared" si="83"/>
        <v>D3</v>
      </c>
      <c r="J617" t="str">
        <f t="shared" si="84"/>
        <v>D3</v>
      </c>
      <c r="K617" t="str">
        <f t="shared" si="85"/>
        <v>D3</v>
      </c>
      <c r="L617">
        <f t="shared" si="86"/>
        <v>211</v>
      </c>
      <c r="M617">
        <f t="shared" si="87"/>
        <v>211</v>
      </c>
      <c r="N617">
        <f t="shared" si="88"/>
        <v>211</v>
      </c>
      <c r="P617" t="str">
        <f t="shared" si="89"/>
        <v>.LightGray-bg{background-color:#D3D3D3;}</v>
      </c>
    </row>
    <row r="618" spans="2:16" ht="15.75">
      <c r="B618" s="1" t="s">
        <v>1391</v>
      </c>
      <c r="C618" t="s">
        <v>1392</v>
      </c>
      <c r="D618">
        <v>20400</v>
      </c>
      <c r="E618">
        <v>15300</v>
      </c>
      <c r="F618">
        <v>20400</v>
      </c>
      <c r="G618" t="str">
        <f t="shared" si="81"/>
        <v>LightGrayishMagenta</v>
      </c>
      <c r="H618" t="str">
        <f t="shared" si="82"/>
        <v>CC99CC</v>
      </c>
      <c r="I618" t="str">
        <f t="shared" si="83"/>
        <v>CC</v>
      </c>
      <c r="J618" t="str">
        <f t="shared" si="84"/>
        <v>99</v>
      </c>
      <c r="K618" t="str">
        <f t="shared" si="85"/>
        <v>CC</v>
      </c>
      <c r="L618">
        <f t="shared" si="86"/>
        <v>204</v>
      </c>
      <c r="M618">
        <f t="shared" si="87"/>
        <v>153</v>
      </c>
      <c r="N618">
        <f t="shared" si="88"/>
        <v>204</v>
      </c>
      <c r="P618" t="str">
        <f t="shared" si="89"/>
        <v>.LightGrayishMagenta-bg{background-color:#CC99CC;}</v>
      </c>
    </row>
    <row r="619" spans="2:16" ht="15.75">
      <c r="B619" s="1" t="s">
        <v>1393</v>
      </c>
      <c r="C619" t="s">
        <v>1394</v>
      </c>
      <c r="D619">
        <v>14280</v>
      </c>
      <c r="E619">
        <v>23715</v>
      </c>
      <c r="F619">
        <v>14280</v>
      </c>
      <c r="G619" t="str">
        <f t="shared" si="81"/>
        <v>LightGreen</v>
      </c>
      <c r="H619" t="str">
        <f t="shared" si="82"/>
        <v>90EE90</v>
      </c>
      <c r="I619" t="str">
        <f t="shared" si="83"/>
        <v>90</v>
      </c>
      <c r="J619" t="str">
        <f t="shared" si="84"/>
        <v>EE</v>
      </c>
      <c r="K619" t="str">
        <f t="shared" si="85"/>
        <v>90</v>
      </c>
      <c r="L619">
        <f t="shared" si="86"/>
        <v>144</v>
      </c>
      <c r="M619">
        <f t="shared" si="87"/>
        <v>238</v>
      </c>
      <c r="N619">
        <f t="shared" si="88"/>
        <v>144</v>
      </c>
      <c r="P619" t="str">
        <f t="shared" si="89"/>
        <v>.LightGreen-bg{background-color:#90EE90;}</v>
      </c>
    </row>
    <row r="620" spans="2:16" ht="15.75">
      <c r="B620" s="1" t="s">
        <v>1395</v>
      </c>
      <c r="C620" t="s">
        <v>1396</v>
      </c>
      <c r="D620">
        <v>25500</v>
      </c>
      <c r="E620">
        <v>17850</v>
      </c>
      <c r="F620">
        <v>25500</v>
      </c>
      <c r="G620" t="str">
        <f t="shared" si="81"/>
        <v>LightHotPink</v>
      </c>
      <c r="H620" t="str">
        <f t="shared" si="82"/>
        <v>FFB3DE</v>
      </c>
      <c r="I620" t="str">
        <f t="shared" si="83"/>
        <v>FF</v>
      </c>
      <c r="J620" t="str">
        <f t="shared" si="84"/>
        <v>B3</v>
      </c>
      <c r="K620" t="str">
        <f t="shared" si="85"/>
        <v>DE</v>
      </c>
      <c r="L620">
        <f t="shared" si="86"/>
        <v>255</v>
      </c>
      <c r="M620">
        <f t="shared" si="87"/>
        <v>179</v>
      </c>
      <c r="N620">
        <f t="shared" si="88"/>
        <v>222</v>
      </c>
      <c r="P620" t="str">
        <f t="shared" si="89"/>
        <v>.LightHotPink-bg{background-color:#FFB3DE;}</v>
      </c>
    </row>
    <row r="621" spans="2:16" ht="15.75">
      <c r="B621" s="1" t="s">
        <v>1397</v>
      </c>
      <c r="C621" t="s">
        <v>1297</v>
      </c>
      <c r="D621">
        <v>23970</v>
      </c>
      <c r="E621">
        <v>22950</v>
      </c>
      <c r="F621">
        <v>23970</v>
      </c>
      <c r="G621" t="str">
        <f t="shared" si="81"/>
        <v>LightKhaki</v>
      </c>
      <c r="H621" t="str">
        <f t="shared" si="82"/>
        <v>F0E68C</v>
      </c>
      <c r="I621" t="str">
        <f t="shared" si="83"/>
        <v>F0</v>
      </c>
      <c r="J621" t="str">
        <f t="shared" si="84"/>
        <v>E6</v>
      </c>
      <c r="K621" t="str">
        <f t="shared" si="85"/>
        <v>8C</v>
      </c>
      <c r="L621">
        <f t="shared" si="86"/>
        <v>240</v>
      </c>
      <c r="M621">
        <f t="shared" si="87"/>
        <v>230</v>
      </c>
      <c r="N621">
        <f t="shared" si="88"/>
        <v>140</v>
      </c>
      <c r="P621" t="str">
        <f t="shared" si="89"/>
        <v>.LightKhaki-bg{background-color:#F0E68C;}</v>
      </c>
    </row>
    <row r="622" spans="2:16" ht="15.75">
      <c r="B622" s="1" t="s">
        <v>1398</v>
      </c>
      <c r="C622" t="s">
        <v>1399</v>
      </c>
      <c r="D622">
        <v>21165</v>
      </c>
      <c r="E622">
        <v>15555</v>
      </c>
      <c r="F622">
        <v>21165</v>
      </c>
      <c r="G622" t="str">
        <f t="shared" si="81"/>
        <v>LightMediumOrchid</v>
      </c>
      <c r="H622" t="str">
        <f t="shared" si="82"/>
        <v>D39BCB</v>
      </c>
      <c r="I622" t="str">
        <f t="shared" si="83"/>
        <v>D3</v>
      </c>
      <c r="J622" t="str">
        <f t="shared" si="84"/>
        <v>9B</v>
      </c>
      <c r="K622" t="str">
        <f t="shared" si="85"/>
        <v>CB</v>
      </c>
      <c r="L622">
        <f t="shared" si="86"/>
        <v>211</v>
      </c>
      <c r="M622">
        <f t="shared" si="87"/>
        <v>155</v>
      </c>
      <c r="N622">
        <f t="shared" si="88"/>
        <v>203</v>
      </c>
      <c r="P622" t="str">
        <f t="shared" si="89"/>
        <v>.LightMediumOrchid-bg{background-color:#D39BCB;}</v>
      </c>
    </row>
    <row r="623" spans="2:16" ht="15.75">
      <c r="B623" s="1" t="s">
        <v>1400</v>
      </c>
      <c r="C623" t="s">
        <v>1401</v>
      </c>
      <c r="D623">
        <v>17340</v>
      </c>
      <c r="E623">
        <v>22185</v>
      </c>
      <c r="F623">
        <v>17340</v>
      </c>
      <c r="G623" t="str">
        <f t="shared" si="81"/>
        <v>LightMossGreen</v>
      </c>
      <c r="H623" t="str">
        <f t="shared" si="82"/>
        <v>ADDFAD</v>
      </c>
      <c r="I623" t="str">
        <f t="shared" si="83"/>
        <v>AD</v>
      </c>
      <c r="J623" t="str">
        <f t="shared" si="84"/>
        <v>DF</v>
      </c>
      <c r="K623" t="str">
        <f t="shared" si="85"/>
        <v>AD</v>
      </c>
      <c r="L623">
        <f t="shared" si="86"/>
        <v>173</v>
      </c>
      <c r="M623">
        <f t="shared" si="87"/>
        <v>223</v>
      </c>
      <c r="N623">
        <f t="shared" si="88"/>
        <v>173</v>
      </c>
      <c r="P623" t="str">
        <f t="shared" si="89"/>
        <v>.LightMossGreen-bg{background-color:#ADDFAD;}</v>
      </c>
    </row>
    <row r="624" spans="2:16" ht="15.75">
      <c r="B624" s="1" t="s">
        <v>1402</v>
      </c>
      <c r="C624" t="s">
        <v>1403</v>
      </c>
      <c r="D624">
        <v>22950</v>
      </c>
      <c r="E624">
        <v>16830</v>
      </c>
      <c r="F624">
        <v>22950</v>
      </c>
      <c r="G624" t="str">
        <f t="shared" si="81"/>
        <v>LightOrchid</v>
      </c>
      <c r="H624" t="str">
        <f t="shared" si="82"/>
        <v>E6A8D7</v>
      </c>
      <c r="I624" t="str">
        <f t="shared" si="83"/>
        <v>E6</v>
      </c>
      <c r="J624" t="str">
        <f t="shared" si="84"/>
        <v>A8</v>
      </c>
      <c r="K624" t="str">
        <f t="shared" si="85"/>
        <v>D7</v>
      </c>
      <c r="L624">
        <f t="shared" si="86"/>
        <v>230</v>
      </c>
      <c r="M624">
        <f t="shared" si="87"/>
        <v>168</v>
      </c>
      <c r="N624">
        <f t="shared" si="88"/>
        <v>215</v>
      </c>
      <c r="P624" t="str">
        <f t="shared" si="89"/>
        <v>.LightOrchid-bg{background-color:#E6A8D7;}</v>
      </c>
    </row>
    <row r="625" spans="2:16" ht="15.75">
      <c r="B625" s="1" t="s">
        <v>1404</v>
      </c>
      <c r="C625" t="s">
        <v>1405</v>
      </c>
      <c r="D625">
        <v>17595</v>
      </c>
      <c r="E625">
        <v>15555</v>
      </c>
      <c r="F625">
        <v>17595</v>
      </c>
      <c r="G625" t="str">
        <f t="shared" si="81"/>
        <v>LightPastelPurple</v>
      </c>
      <c r="H625" t="str">
        <f t="shared" si="82"/>
        <v>B19CD9</v>
      </c>
      <c r="I625" t="str">
        <f t="shared" si="83"/>
        <v>B1</v>
      </c>
      <c r="J625" t="str">
        <f t="shared" si="84"/>
        <v>9C</v>
      </c>
      <c r="K625" t="str">
        <f t="shared" si="85"/>
        <v>D9</v>
      </c>
      <c r="L625">
        <f t="shared" si="86"/>
        <v>177</v>
      </c>
      <c r="M625">
        <f t="shared" si="87"/>
        <v>156</v>
      </c>
      <c r="N625">
        <f t="shared" si="88"/>
        <v>217</v>
      </c>
      <c r="P625" t="str">
        <f t="shared" si="89"/>
        <v>.LightPastelPurple-bg{background-color:#B19CD9;}</v>
      </c>
    </row>
    <row r="626" spans="2:16" ht="15.75">
      <c r="B626" s="1" t="s">
        <v>1406</v>
      </c>
      <c r="C626" t="s">
        <v>1407</v>
      </c>
      <c r="D626">
        <v>25500</v>
      </c>
      <c r="E626">
        <v>18105</v>
      </c>
      <c r="F626">
        <v>25500</v>
      </c>
      <c r="G626" t="str">
        <f t="shared" si="81"/>
        <v>LightPink</v>
      </c>
      <c r="H626" t="str">
        <f t="shared" si="82"/>
        <v>FFB6C1</v>
      </c>
      <c r="I626" t="str">
        <f t="shared" si="83"/>
        <v>FF</v>
      </c>
      <c r="J626" t="str">
        <f t="shared" si="84"/>
        <v>B6</v>
      </c>
      <c r="K626" t="str">
        <f t="shared" si="85"/>
        <v>C1</v>
      </c>
      <c r="L626">
        <f t="shared" si="86"/>
        <v>255</v>
      </c>
      <c r="M626">
        <f t="shared" si="87"/>
        <v>182</v>
      </c>
      <c r="N626">
        <f t="shared" si="88"/>
        <v>193</v>
      </c>
      <c r="P626" t="str">
        <f t="shared" si="89"/>
        <v>.LightPink-bg{background-color:#FFB6C1;}</v>
      </c>
    </row>
    <row r="627" spans="2:16" ht="15.75">
      <c r="B627" s="1" t="s">
        <v>1408</v>
      </c>
      <c r="C627" t="s">
        <v>504</v>
      </c>
      <c r="D627">
        <v>23205</v>
      </c>
      <c r="E627">
        <v>11475</v>
      </c>
      <c r="F627">
        <v>23205</v>
      </c>
      <c r="G627" t="str">
        <f t="shared" si="81"/>
        <v>LightRedOchre</v>
      </c>
      <c r="H627" t="str">
        <f t="shared" si="82"/>
        <v>E97451</v>
      </c>
      <c r="I627" t="str">
        <f t="shared" si="83"/>
        <v>E9</v>
      </c>
      <c r="J627" t="str">
        <f t="shared" si="84"/>
        <v>74</v>
      </c>
      <c r="K627" t="str">
        <f t="shared" si="85"/>
        <v>51</v>
      </c>
      <c r="L627">
        <f t="shared" si="86"/>
        <v>233</v>
      </c>
      <c r="M627">
        <f t="shared" si="87"/>
        <v>116</v>
      </c>
      <c r="N627">
        <f t="shared" si="88"/>
        <v>81</v>
      </c>
      <c r="P627" t="str">
        <f t="shared" si="89"/>
        <v>.LightRedOchre-bg{background-color:#E97451;}</v>
      </c>
    </row>
    <row r="628" spans="2:16" ht="15.75">
      <c r="B628" s="1" t="s">
        <v>1409</v>
      </c>
      <c r="C628" t="s">
        <v>1410</v>
      </c>
      <c r="D628">
        <v>25500</v>
      </c>
      <c r="E628">
        <v>16065</v>
      </c>
      <c r="F628">
        <v>25500</v>
      </c>
      <c r="G628" t="str">
        <f t="shared" si="81"/>
        <v>LightSalmon</v>
      </c>
      <c r="H628" t="str">
        <f t="shared" si="82"/>
        <v>FFA07A</v>
      </c>
      <c r="I628" t="str">
        <f t="shared" si="83"/>
        <v>FF</v>
      </c>
      <c r="J628" t="str">
        <f t="shared" si="84"/>
        <v>A0</v>
      </c>
      <c r="K628" t="str">
        <f t="shared" si="85"/>
        <v>7A</v>
      </c>
      <c r="L628">
        <f t="shared" si="86"/>
        <v>255</v>
      </c>
      <c r="M628">
        <f t="shared" si="87"/>
        <v>160</v>
      </c>
      <c r="N628">
        <f t="shared" si="88"/>
        <v>122</v>
      </c>
      <c r="P628" t="str">
        <f t="shared" si="89"/>
        <v>.LightSalmon-bg{background-color:#FFA07A;}</v>
      </c>
    </row>
    <row r="629" spans="2:16" ht="15.75">
      <c r="B629" s="1" t="s">
        <v>1411</v>
      </c>
      <c r="C629" t="s">
        <v>1412</v>
      </c>
      <c r="D629">
        <v>25500</v>
      </c>
      <c r="E629">
        <v>15300</v>
      </c>
      <c r="F629">
        <v>25500</v>
      </c>
      <c r="G629" t="str">
        <f t="shared" si="81"/>
        <v>LightSalmonPink</v>
      </c>
      <c r="H629" t="str">
        <f t="shared" si="82"/>
        <v>FF9999</v>
      </c>
      <c r="I629" t="str">
        <f t="shared" si="83"/>
        <v>FF</v>
      </c>
      <c r="J629" t="str">
        <f t="shared" si="84"/>
        <v>99</v>
      </c>
      <c r="K629" t="str">
        <f t="shared" si="85"/>
        <v>99</v>
      </c>
      <c r="L629">
        <f t="shared" si="86"/>
        <v>255</v>
      </c>
      <c r="M629">
        <f t="shared" si="87"/>
        <v>153</v>
      </c>
      <c r="N629">
        <f t="shared" si="88"/>
        <v>153</v>
      </c>
      <c r="P629" t="str">
        <f t="shared" si="89"/>
        <v>.LightSalmonPink-bg{background-color:#FF9999;}</v>
      </c>
    </row>
    <row r="630" spans="2:16" ht="15.75">
      <c r="B630" s="1" t="s">
        <v>1413</v>
      </c>
      <c r="C630" t="s">
        <v>1414</v>
      </c>
      <c r="D630">
        <v>3315</v>
      </c>
      <c r="E630">
        <v>17850</v>
      </c>
      <c r="F630">
        <v>3315</v>
      </c>
      <c r="G630" t="str">
        <f t="shared" si="81"/>
        <v>LightSeaGreen</v>
      </c>
      <c r="H630" t="str">
        <f t="shared" si="82"/>
        <v>20B2AA</v>
      </c>
      <c r="I630" t="str">
        <f t="shared" si="83"/>
        <v>20</v>
      </c>
      <c r="J630" t="str">
        <f t="shared" si="84"/>
        <v>B2</v>
      </c>
      <c r="K630" t="str">
        <f t="shared" si="85"/>
        <v>AA</v>
      </c>
      <c r="L630">
        <f t="shared" si="86"/>
        <v>32</v>
      </c>
      <c r="M630">
        <f t="shared" si="87"/>
        <v>178</v>
      </c>
      <c r="N630">
        <f t="shared" si="88"/>
        <v>170</v>
      </c>
      <c r="P630" t="str">
        <f t="shared" si="89"/>
        <v>.LightSeaGreen-bg{background-color:#20B2AA;}</v>
      </c>
    </row>
    <row r="631" spans="2:16" ht="15.75">
      <c r="B631" s="1" t="s">
        <v>1415</v>
      </c>
      <c r="C631" t="s">
        <v>1416</v>
      </c>
      <c r="D631">
        <v>13515</v>
      </c>
      <c r="E631">
        <v>20655</v>
      </c>
      <c r="F631">
        <v>13515</v>
      </c>
      <c r="G631" t="str">
        <f t="shared" si="81"/>
        <v>LightSkyBlue</v>
      </c>
      <c r="H631" t="str">
        <f t="shared" si="82"/>
        <v>87CEFA</v>
      </c>
      <c r="I631" t="str">
        <f t="shared" si="83"/>
        <v>87</v>
      </c>
      <c r="J631" t="str">
        <f t="shared" si="84"/>
        <v>CE</v>
      </c>
      <c r="K631" t="str">
        <f t="shared" si="85"/>
        <v>FA</v>
      </c>
      <c r="L631">
        <f t="shared" si="86"/>
        <v>135</v>
      </c>
      <c r="M631">
        <f t="shared" si="87"/>
        <v>206</v>
      </c>
      <c r="N631">
        <f t="shared" si="88"/>
        <v>250</v>
      </c>
      <c r="P631" t="str">
        <f t="shared" si="89"/>
        <v>.LightSkyBlue-bg{background-color:#87CEFA;}</v>
      </c>
    </row>
    <row r="632" spans="2:16" ht="15.75">
      <c r="B632" s="1" t="s">
        <v>1417</v>
      </c>
      <c r="C632" t="s">
        <v>1418</v>
      </c>
      <c r="D632">
        <v>11985</v>
      </c>
      <c r="E632">
        <v>13515</v>
      </c>
      <c r="F632">
        <v>11985</v>
      </c>
      <c r="G632" t="str">
        <f t="shared" si="81"/>
        <v>LightSlateGray</v>
      </c>
      <c r="H632" t="str">
        <f t="shared" si="82"/>
        <v>778899</v>
      </c>
      <c r="I632" t="str">
        <f t="shared" si="83"/>
        <v>77</v>
      </c>
      <c r="J632" t="str">
        <f t="shared" si="84"/>
        <v>88</v>
      </c>
      <c r="K632" t="str">
        <f t="shared" si="85"/>
        <v>99</v>
      </c>
      <c r="L632">
        <f t="shared" si="86"/>
        <v>119</v>
      </c>
      <c r="M632">
        <f t="shared" si="87"/>
        <v>136</v>
      </c>
      <c r="N632">
        <f t="shared" si="88"/>
        <v>153</v>
      </c>
      <c r="P632" t="str">
        <f t="shared" si="89"/>
        <v>.LightSlateGray-bg{background-color:#778899;}</v>
      </c>
    </row>
    <row r="633" spans="2:16" ht="15.75">
      <c r="B633" s="1" t="s">
        <v>1419</v>
      </c>
      <c r="C633" t="s">
        <v>1420</v>
      </c>
      <c r="D633">
        <v>17595</v>
      </c>
      <c r="E633">
        <v>19635</v>
      </c>
      <c r="F633">
        <v>17595</v>
      </c>
      <c r="G633" t="str">
        <f t="shared" si="81"/>
        <v>LightSteelBlue</v>
      </c>
      <c r="H633" t="str">
        <f t="shared" si="82"/>
        <v>B0C4DE</v>
      </c>
      <c r="I633" t="str">
        <f t="shared" si="83"/>
        <v>B0</v>
      </c>
      <c r="J633" t="str">
        <f t="shared" si="84"/>
        <v>C4</v>
      </c>
      <c r="K633" t="str">
        <f t="shared" si="85"/>
        <v>DE</v>
      </c>
      <c r="L633">
        <f t="shared" si="86"/>
        <v>176</v>
      </c>
      <c r="M633">
        <f t="shared" si="87"/>
        <v>196</v>
      </c>
      <c r="N633">
        <f t="shared" si="88"/>
        <v>222</v>
      </c>
      <c r="P633" t="str">
        <f t="shared" si="89"/>
        <v>.LightSteelBlue-bg{background-color:#B0C4DE;}</v>
      </c>
    </row>
    <row r="634" spans="2:16" ht="15.75">
      <c r="B634" s="1" t="s">
        <v>1421</v>
      </c>
      <c r="C634" t="s">
        <v>1422</v>
      </c>
      <c r="D634">
        <v>17850</v>
      </c>
      <c r="E634">
        <v>14025</v>
      </c>
      <c r="F634">
        <v>17850</v>
      </c>
      <c r="G634" t="str">
        <f t="shared" si="81"/>
        <v>LightTaupe</v>
      </c>
      <c r="H634" t="str">
        <f t="shared" si="82"/>
        <v>B38B6D</v>
      </c>
      <c r="I634" t="str">
        <f t="shared" si="83"/>
        <v>B3</v>
      </c>
      <c r="J634" t="str">
        <f t="shared" si="84"/>
        <v>8B</v>
      </c>
      <c r="K634" t="str">
        <f t="shared" si="85"/>
        <v>6D</v>
      </c>
      <c r="L634">
        <f t="shared" si="86"/>
        <v>179</v>
      </c>
      <c r="M634">
        <f t="shared" si="87"/>
        <v>139</v>
      </c>
      <c r="N634">
        <f t="shared" si="88"/>
        <v>109</v>
      </c>
      <c r="P634" t="str">
        <f t="shared" si="89"/>
        <v>.LightTaupe-bg{background-color:#B38B6D;}</v>
      </c>
    </row>
    <row r="635" spans="2:16" ht="15.75">
      <c r="B635" s="1" t="s">
        <v>1423</v>
      </c>
      <c r="C635" t="s">
        <v>611</v>
      </c>
      <c r="D635">
        <v>22950</v>
      </c>
      <c r="E635">
        <v>14280</v>
      </c>
      <c r="F635">
        <v>22950</v>
      </c>
      <c r="G635" t="str">
        <f t="shared" si="81"/>
        <v>LightThulianPink</v>
      </c>
      <c r="H635" t="str">
        <f t="shared" si="82"/>
        <v>E68FAC</v>
      </c>
      <c r="I635" t="str">
        <f t="shared" si="83"/>
        <v>E6</v>
      </c>
      <c r="J635" t="str">
        <f t="shared" si="84"/>
        <v>8F</v>
      </c>
      <c r="K635" t="str">
        <f t="shared" si="85"/>
        <v>AC</v>
      </c>
      <c r="L635">
        <f t="shared" si="86"/>
        <v>230</v>
      </c>
      <c r="M635">
        <f t="shared" si="87"/>
        <v>143</v>
      </c>
      <c r="N635">
        <f t="shared" si="88"/>
        <v>172</v>
      </c>
      <c r="P635" t="str">
        <f t="shared" si="89"/>
        <v>.LightThulianPink-bg{background-color:#E68FAC;}</v>
      </c>
    </row>
    <row r="636" spans="2:16" ht="15.75">
      <c r="B636" s="1" t="s">
        <v>1424</v>
      </c>
      <c r="C636" t="s">
        <v>1425</v>
      </c>
      <c r="D636">
        <v>25500</v>
      </c>
      <c r="E636">
        <v>25500</v>
      </c>
      <c r="F636">
        <v>25500</v>
      </c>
      <c r="G636" t="str">
        <f t="shared" si="81"/>
        <v>LightYellow</v>
      </c>
      <c r="H636" t="str">
        <f t="shared" si="82"/>
        <v>FFFFE0</v>
      </c>
      <c r="I636" t="str">
        <f t="shared" si="83"/>
        <v>FF</v>
      </c>
      <c r="J636" t="str">
        <f t="shared" si="84"/>
        <v>FF</v>
      </c>
      <c r="K636" t="str">
        <f t="shared" si="85"/>
        <v>E0</v>
      </c>
      <c r="L636">
        <f t="shared" si="86"/>
        <v>255</v>
      </c>
      <c r="M636">
        <f t="shared" si="87"/>
        <v>255</v>
      </c>
      <c r="N636">
        <f t="shared" si="88"/>
        <v>224</v>
      </c>
      <c r="P636" t="str">
        <f t="shared" si="89"/>
        <v>.LightYellow-bg{background-color:#FFFFE0;}</v>
      </c>
    </row>
    <row r="637" spans="2:16" ht="15.75">
      <c r="B637" s="1" t="s">
        <v>1426</v>
      </c>
      <c r="C637" t="s">
        <v>1427</v>
      </c>
      <c r="D637">
        <v>19890</v>
      </c>
      <c r="E637">
        <v>16320</v>
      </c>
      <c r="F637">
        <v>19890</v>
      </c>
      <c r="G637" t="str">
        <f t="shared" si="81"/>
        <v>Lilac</v>
      </c>
      <c r="H637" t="str">
        <f t="shared" si="82"/>
        <v>C8A2C8</v>
      </c>
      <c r="I637" t="str">
        <f t="shared" si="83"/>
        <v>C8</v>
      </c>
      <c r="J637" t="str">
        <f t="shared" si="84"/>
        <v>A2</v>
      </c>
      <c r="K637" t="str">
        <f t="shared" si="85"/>
        <v>C8</v>
      </c>
      <c r="L637">
        <f t="shared" si="86"/>
        <v>200</v>
      </c>
      <c r="M637">
        <f t="shared" si="87"/>
        <v>162</v>
      </c>
      <c r="N637">
        <f t="shared" si="88"/>
        <v>200</v>
      </c>
      <c r="P637" t="str">
        <f t="shared" si="89"/>
        <v>.Lilac-bg{background-color:#C8A2C8;}</v>
      </c>
    </row>
    <row r="638" spans="2:16" ht="15.75">
      <c r="B638" s="1" t="s">
        <v>1428</v>
      </c>
      <c r="C638" t="s">
        <v>1429</v>
      </c>
      <c r="D638">
        <v>17340</v>
      </c>
      <c r="E638">
        <v>15300</v>
      </c>
      <c r="F638">
        <v>17340</v>
      </c>
      <c r="G638" t="str">
        <f t="shared" si="81"/>
        <v>LilacLuster</v>
      </c>
      <c r="H638" t="str">
        <f t="shared" si="82"/>
        <v>AE98AA</v>
      </c>
      <c r="I638" t="str">
        <f t="shared" si="83"/>
        <v>AE</v>
      </c>
      <c r="J638" t="str">
        <f t="shared" si="84"/>
        <v>98</v>
      </c>
      <c r="K638" t="str">
        <f t="shared" si="85"/>
        <v>AA</v>
      </c>
      <c r="L638">
        <f t="shared" si="86"/>
        <v>174</v>
      </c>
      <c r="M638">
        <f t="shared" si="87"/>
        <v>152</v>
      </c>
      <c r="N638">
        <f t="shared" si="88"/>
        <v>170</v>
      </c>
      <c r="P638" t="str">
        <f t="shared" si="89"/>
        <v>.LilacLuster-bg{background-color:#AE98AA;}</v>
      </c>
    </row>
    <row r="639" spans="2:16" ht="15.75">
      <c r="B639" s="1" t="s">
        <v>1430</v>
      </c>
      <c r="C639" t="s">
        <v>357</v>
      </c>
      <c r="D639">
        <v>19125</v>
      </c>
      <c r="E639">
        <v>25500</v>
      </c>
      <c r="F639">
        <v>19125</v>
      </c>
      <c r="G639" t="str">
        <f t="shared" si="81"/>
        <v>LimeColorWheel</v>
      </c>
      <c r="H639" t="str">
        <f t="shared" si="82"/>
        <v>BFFF00</v>
      </c>
      <c r="I639" t="str">
        <f t="shared" si="83"/>
        <v>BF</v>
      </c>
      <c r="J639" t="str">
        <f t="shared" si="84"/>
        <v>FF</v>
      </c>
      <c r="K639" t="str">
        <f t="shared" si="85"/>
        <v>00</v>
      </c>
      <c r="L639">
        <f t="shared" si="86"/>
        <v>191</v>
      </c>
      <c r="M639">
        <f t="shared" si="87"/>
        <v>255</v>
      </c>
      <c r="N639">
        <f t="shared" si="88"/>
        <v>0</v>
      </c>
      <c r="P639" t="str">
        <f t="shared" si="89"/>
        <v>.LimeColorWheel-bg{background-color:#BFFF00;}</v>
      </c>
    </row>
    <row r="640" spans="2:16" ht="15.75">
      <c r="B640" s="1" t="s">
        <v>1431</v>
      </c>
      <c r="C640" t="s">
        <v>964</v>
      </c>
      <c r="D640">
        <v>0</v>
      </c>
      <c r="E640">
        <v>25500</v>
      </c>
      <c r="F640">
        <v>0</v>
      </c>
      <c r="G640" t="str">
        <f t="shared" si="81"/>
        <v>LimeWebX11Green</v>
      </c>
      <c r="H640" t="str">
        <f t="shared" si="82"/>
        <v>00FF00</v>
      </c>
      <c r="I640" t="str">
        <f t="shared" si="83"/>
        <v>00</v>
      </c>
      <c r="J640" t="str">
        <f t="shared" si="84"/>
        <v>FF</v>
      </c>
      <c r="K640" t="str">
        <f t="shared" si="85"/>
        <v>00</v>
      </c>
      <c r="L640">
        <f t="shared" si="86"/>
        <v>0</v>
      </c>
      <c r="M640">
        <f t="shared" si="87"/>
        <v>255</v>
      </c>
      <c r="N640">
        <f t="shared" si="88"/>
        <v>0</v>
      </c>
      <c r="P640" t="str">
        <f t="shared" si="89"/>
        <v>.LimeWebX11Green-bg{background-color:#00FF00;}</v>
      </c>
    </row>
    <row r="641" spans="2:16" ht="15.75">
      <c r="B641" s="1" t="s">
        <v>1432</v>
      </c>
      <c r="C641" t="s">
        <v>1433</v>
      </c>
      <c r="D641">
        <v>5100</v>
      </c>
      <c r="E641">
        <v>20400</v>
      </c>
      <c r="F641">
        <v>5100</v>
      </c>
      <c r="G641" t="str">
        <f t="shared" si="81"/>
        <v>LimeGreen</v>
      </c>
      <c r="H641" t="str">
        <f t="shared" si="82"/>
        <v>32CD32</v>
      </c>
      <c r="I641" t="str">
        <f t="shared" si="83"/>
        <v>32</v>
      </c>
      <c r="J641" t="str">
        <f t="shared" si="84"/>
        <v>CD</v>
      </c>
      <c r="K641" t="str">
        <f t="shared" si="85"/>
        <v>32</v>
      </c>
      <c r="L641">
        <f t="shared" si="86"/>
        <v>50</v>
      </c>
      <c r="M641">
        <f t="shared" si="87"/>
        <v>205</v>
      </c>
      <c r="N641">
        <f t="shared" si="88"/>
        <v>50</v>
      </c>
      <c r="P641" t="str">
        <f t="shared" si="89"/>
        <v>.LimeGreen-bg{background-color:#32CD32;}</v>
      </c>
    </row>
    <row r="642" spans="2:16" ht="15.75">
      <c r="B642" s="1" t="s">
        <v>1434</v>
      </c>
      <c r="C642" t="s">
        <v>1435</v>
      </c>
      <c r="D642">
        <v>15810</v>
      </c>
      <c r="E642">
        <v>19380</v>
      </c>
      <c r="F642">
        <v>15810</v>
      </c>
      <c r="G642" t="str">
        <f t="shared" si="81"/>
        <v>Limerick</v>
      </c>
      <c r="H642" t="str">
        <f t="shared" si="82"/>
        <v>9DC209</v>
      </c>
      <c r="I642" t="str">
        <f t="shared" si="83"/>
        <v>9D</v>
      </c>
      <c r="J642" t="str">
        <f t="shared" si="84"/>
        <v>C2</v>
      </c>
      <c r="K642" t="str">
        <f t="shared" si="85"/>
        <v>09</v>
      </c>
      <c r="L642">
        <f t="shared" si="86"/>
        <v>157</v>
      </c>
      <c r="M642">
        <f t="shared" si="87"/>
        <v>194</v>
      </c>
      <c r="N642">
        <f t="shared" si="88"/>
        <v>9</v>
      </c>
      <c r="P642" t="str">
        <f t="shared" si="89"/>
        <v>.Limerick-bg{background-color:#9DC209;}</v>
      </c>
    </row>
    <row r="643" spans="2:16" ht="15.75">
      <c r="B643" s="1" t="s">
        <v>1436</v>
      </c>
      <c r="C643" t="s">
        <v>1437</v>
      </c>
      <c r="D643">
        <v>2550</v>
      </c>
      <c r="E643">
        <v>8925</v>
      </c>
      <c r="F643">
        <v>2550</v>
      </c>
      <c r="G643" t="str">
        <f t="shared" si="81"/>
        <v>LincolnGreen</v>
      </c>
      <c r="H643" t="str">
        <f t="shared" si="82"/>
        <v>195905</v>
      </c>
      <c r="I643" t="str">
        <f t="shared" si="83"/>
        <v>19</v>
      </c>
      <c r="J643" t="str">
        <f t="shared" si="84"/>
        <v>59</v>
      </c>
      <c r="K643" t="str">
        <f t="shared" si="85"/>
        <v>05</v>
      </c>
      <c r="L643">
        <f t="shared" si="86"/>
        <v>25</v>
      </c>
      <c r="M643">
        <f t="shared" si="87"/>
        <v>89</v>
      </c>
      <c r="N643">
        <f t="shared" si="88"/>
        <v>5</v>
      </c>
      <c r="P643" t="str">
        <f t="shared" si="89"/>
        <v>.LincolnGreen-bg{background-color:#195905;}</v>
      </c>
    </row>
    <row r="644" spans="2:16" ht="15.75">
      <c r="B644" s="1" t="s">
        <v>1438</v>
      </c>
      <c r="C644" t="s">
        <v>1439</v>
      </c>
      <c r="D644">
        <v>24990</v>
      </c>
      <c r="E644">
        <v>23970</v>
      </c>
      <c r="F644">
        <v>24990</v>
      </c>
      <c r="G644" t="str">
        <f t="shared" ref="G644:G707" si="90">SUBSTITUTE(PROPER(AlphaNumericOnly(B644))," ","")</f>
        <v>Linen</v>
      </c>
      <c r="H644" t="str">
        <f t="shared" ref="H644:H707" si="91">RIGHT(C644,6)</f>
        <v>FAF0E6</v>
      </c>
      <c r="I644" t="str">
        <f t="shared" ref="I644:I707" si="92">MID($H644,1,2)</f>
        <v>FA</v>
      </c>
      <c r="J644" t="str">
        <f t="shared" ref="J644:J707" si="93">MID($H644,3,2)</f>
        <v>F0</v>
      </c>
      <c r="K644" t="str">
        <f t="shared" ref="K644:K707" si="94">MID($H644,5,2)</f>
        <v>E6</v>
      </c>
      <c r="L644">
        <f t="shared" ref="L644:L707" si="95">HEX2DEC(I644)</f>
        <v>250</v>
      </c>
      <c r="M644">
        <f t="shared" ref="M644:M707" si="96">HEX2DEC(J644)</f>
        <v>240</v>
      </c>
      <c r="N644">
        <f t="shared" ref="N644:N707" si="97">HEX2DEC(K644)</f>
        <v>230</v>
      </c>
      <c r="P644" t="str">
        <f t="shared" ref="P644:P707" si="98">"."&amp;G644&amp;$P$1&amp;"{"&amp;$P$2&amp;":#"&amp;H644&amp;";}"</f>
        <v>.Linen-bg{background-color:#FAF0E6;}</v>
      </c>
    </row>
    <row r="645" spans="2:16" ht="15.75">
      <c r="B645" s="1" t="s">
        <v>1440</v>
      </c>
      <c r="C645" t="s">
        <v>534</v>
      </c>
      <c r="D645">
        <v>19380</v>
      </c>
      <c r="E645">
        <v>15300</v>
      </c>
      <c r="F645">
        <v>19380</v>
      </c>
      <c r="G645" t="str">
        <f t="shared" si="90"/>
        <v>Lion</v>
      </c>
      <c r="H645" t="str">
        <f t="shared" si="91"/>
        <v>C19A6B</v>
      </c>
      <c r="I645" t="str">
        <f t="shared" si="92"/>
        <v>C1</v>
      </c>
      <c r="J645" t="str">
        <f t="shared" si="93"/>
        <v>9A</v>
      </c>
      <c r="K645" t="str">
        <f t="shared" si="94"/>
        <v>6B</v>
      </c>
      <c r="L645">
        <f t="shared" si="95"/>
        <v>193</v>
      </c>
      <c r="M645">
        <f t="shared" si="96"/>
        <v>154</v>
      </c>
      <c r="N645">
        <f t="shared" si="97"/>
        <v>107</v>
      </c>
      <c r="P645" t="str">
        <f t="shared" si="98"/>
        <v>.Lion-bg{background-color:#C19A6B;}</v>
      </c>
    </row>
    <row r="646" spans="2:16" ht="15.75">
      <c r="B646" s="1" t="s">
        <v>1441</v>
      </c>
      <c r="C646" t="s">
        <v>622</v>
      </c>
      <c r="D646">
        <v>22185</v>
      </c>
      <c r="E646">
        <v>11220</v>
      </c>
      <c r="F646">
        <v>22185</v>
      </c>
      <c r="G646" t="str">
        <f t="shared" si="90"/>
        <v>LiseranPurple</v>
      </c>
      <c r="H646" t="str">
        <f t="shared" si="91"/>
        <v>DE6FA1</v>
      </c>
      <c r="I646" t="str">
        <f t="shared" si="92"/>
        <v>DE</v>
      </c>
      <c r="J646" t="str">
        <f t="shared" si="93"/>
        <v>6F</v>
      </c>
      <c r="K646" t="str">
        <f t="shared" si="94"/>
        <v>A1</v>
      </c>
      <c r="L646">
        <f t="shared" si="95"/>
        <v>222</v>
      </c>
      <c r="M646">
        <f t="shared" si="96"/>
        <v>111</v>
      </c>
      <c r="N646">
        <f t="shared" si="97"/>
        <v>161</v>
      </c>
      <c r="P646" t="str">
        <f t="shared" si="98"/>
        <v>.LiseranPurple-bg{background-color:#DE6FA1;}</v>
      </c>
    </row>
    <row r="647" spans="2:16" ht="15.75">
      <c r="B647" s="1" t="s">
        <v>1442</v>
      </c>
      <c r="C647" t="s">
        <v>1443</v>
      </c>
      <c r="D647">
        <v>10710</v>
      </c>
      <c r="E647">
        <v>16065</v>
      </c>
      <c r="F647">
        <v>10710</v>
      </c>
      <c r="G647" t="str">
        <f t="shared" si="90"/>
        <v>LittleBoyBlue</v>
      </c>
      <c r="H647" t="str">
        <f t="shared" si="91"/>
        <v>6CA0DC</v>
      </c>
      <c r="I647" t="str">
        <f t="shared" si="92"/>
        <v>6C</v>
      </c>
      <c r="J647" t="str">
        <f t="shared" si="93"/>
        <v>A0</v>
      </c>
      <c r="K647" t="str">
        <f t="shared" si="94"/>
        <v>DC</v>
      </c>
      <c r="L647">
        <f t="shared" si="95"/>
        <v>108</v>
      </c>
      <c r="M647">
        <f t="shared" si="96"/>
        <v>160</v>
      </c>
      <c r="N647">
        <f t="shared" si="97"/>
        <v>220</v>
      </c>
      <c r="P647" t="str">
        <f t="shared" si="98"/>
        <v>.LittleBoyBlue-bg{background-color:#6CA0DC;}</v>
      </c>
    </row>
    <row r="648" spans="2:16" ht="15.75">
      <c r="B648" s="1" t="s">
        <v>1444</v>
      </c>
      <c r="C648" t="s">
        <v>1445</v>
      </c>
      <c r="D648">
        <v>10200</v>
      </c>
      <c r="E648">
        <v>7650</v>
      </c>
      <c r="F648">
        <v>10200</v>
      </c>
      <c r="G648" t="str">
        <f t="shared" si="90"/>
        <v>Liver</v>
      </c>
      <c r="H648" t="str">
        <f t="shared" si="91"/>
        <v>674C47</v>
      </c>
      <c r="I648" t="str">
        <f t="shared" si="92"/>
        <v>67</v>
      </c>
      <c r="J648" t="str">
        <f t="shared" si="93"/>
        <v>4C</v>
      </c>
      <c r="K648" t="str">
        <f t="shared" si="94"/>
        <v>47</v>
      </c>
      <c r="L648">
        <f t="shared" si="95"/>
        <v>103</v>
      </c>
      <c r="M648">
        <f t="shared" si="96"/>
        <v>76</v>
      </c>
      <c r="N648">
        <f t="shared" si="97"/>
        <v>71</v>
      </c>
      <c r="P648" t="str">
        <f t="shared" si="98"/>
        <v>.Liver-bg{background-color:#674C47;}</v>
      </c>
    </row>
    <row r="649" spans="2:16" ht="15.75">
      <c r="B649" s="1" t="s">
        <v>1446</v>
      </c>
      <c r="C649" t="s">
        <v>1447</v>
      </c>
      <c r="D649">
        <v>18360</v>
      </c>
      <c r="E649">
        <v>10965</v>
      </c>
      <c r="F649">
        <v>18360</v>
      </c>
      <c r="G649" t="str">
        <f t="shared" si="90"/>
        <v>LiverDogs</v>
      </c>
      <c r="H649" t="str">
        <f t="shared" si="91"/>
        <v>B86D29</v>
      </c>
      <c r="I649" t="str">
        <f t="shared" si="92"/>
        <v>B8</v>
      </c>
      <c r="J649" t="str">
        <f t="shared" si="93"/>
        <v>6D</v>
      </c>
      <c r="K649" t="str">
        <f t="shared" si="94"/>
        <v>29</v>
      </c>
      <c r="L649">
        <f t="shared" si="95"/>
        <v>184</v>
      </c>
      <c r="M649">
        <f t="shared" si="96"/>
        <v>109</v>
      </c>
      <c r="N649">
        <f t="shared" si="97"/>
        <v>41</v>
      </c>
      <c r="P649" t="str">
        <f t="shared" si="98"/>
        <v>.LiverDogs-bg{background-color:#B86D29;}</v>
      </c>
    </row>
    <row r="650" spans="2:16" ht="15.75">
      <c r="B650" s="1" t="s">
        <v>1448</v>
      </c>
      <c r="C650" t="s">
        <v>1449</v>
      </c>
      <c r="D650">
        <v>10710</v>
      </c>
      <c r="E650">
        <v>4590</v>
      </c>
      <c r="F650">
        <v>10710</v>
      </c>
      <c r="G650" t="str">
        <f t="shared" si="90"/>
        <v>LiverOrgan</v>
      </c>
      <c r="H650" t="str">
        <f t="shared" si="91"/>
        <v>6C2E1F</v>
      </c>
      <c r="I650" t="str">
        <f t="shared" si="92"/>
        <v>6C</v>
      </c>
      <c r="J650" t="str">
        <f t="shared" si="93"/>
        <v>2E</v>
      </c>
      <c r="K650" t="str">
        <f t="shared" si="94"/>
        <v>1F</v>
      </c>
      <c r="L650">
        <f t="shared" si="95"/>
        <v>108</v>
      </c>
      <c r="M650">
        <f t="shared" si="96"/>
        <v>46</v>
      </c>
      <c r="N650">
        <f t="shared" si="97"/>
        <v>31</v>
      </c>
      <c r="P650" t="str">
        <f t="shared" si="98"/>
        <v>.LiverOrgan-bg{background-color:#6C2E1F;}</v>
      </c>
    </row>
    <row r="651" spans="2:16" ht="15.75">
      <c r="B651" s="1" t="s">
        <v>1450</v>
      </c>
      <c r="C651" t="s">
        <v>1451</v>
      </c>
      <c r="D651">
        <v>15300</v>
      </c>
      <c r="E651">
        <v>11475</v>
      </c>
      <c r="F651">
        <v>15300</v>
      </c>
      <c r="G651" t="str">
        <f t="shared" si="90"/>
        <v>LiverChestnut</v>
      </c>
      <c r="H651" t="str">
        <f t="shared" si="91"/>
        <v>987456</v>
      </c>
      <c r="I651" t="str">
        <f t="shared" si="92"/>
        <v>98</v>
      </c>
      <c r="J651" t="str">
        <f t="shared" si="93"/>
        <v>74</v>
      </c>
      <c r="K651" t="str">
        <f t="shared" si="94"/>
        <v>56</v>
      </c>
      <c r="L651">
        <f t="shared" si="95"/>
        <v>152</v>
      </c>
      <c r="M651">
        <f t="shared" si="96"/>
        <v>116</v>
      </c>
      <c r="N651">
        <f t="shared" si="97"/>
        <v>86</v>
      </c>
      <c r="P651" t="str">
        <f t="shared" si="98"/>
        <v>.LiverChestnut-bg{background-color:#987456;}</v>
      </c>
    </row>
    <row r="652" spans="2:16" ht="15.75">
      <c r="B652" s="1" t="s">
        <v>1452</v>
      </c>
      <c r="C652" t="s">
        <v>401</v>
      </c>
      <c r="D652">
        <v>10200</v>
      </c>
      <c r="E652">
        <v>15300</v>
      </c>
      <c r="F652">
        <v>10200</v>
      </c>
      <c r="G652" t="str">
        <f t="shared" si="90"/>
        <v>Livid</v>
      </c>
      <c r="H652" t="str">
        <f t="shared" si="91"/>
        <v>6699CC</v>
      </c>
      <c r="I652" t="str">
        <f t="shared" si="92"/>
        <v>66</v>
      </c>
      <c r="J652" t="str">
        <f t="shared" si="93"/>
        <v>99</v>
      </c>
      <c r="K652" t="str">
        <f t="shared" si="94"/>
        <v>CC</v>
      </c>
      <c r="L652">
        <f t="shared" si="95"/>
        <v>102</v>
      </c>
      <c r="M652">
        <f t="shared" si="96"/>
        <v>153</v>
      </c>
      <c r="N652">
        <f t="shared" si="97"/>
        <v>204</v>
      </c>
      <c r="P652" t="str">
        <f t="shared" si="98"/>
        <v>.Livid-bg{background-color:#6699CC;}</v>
      </c>
    </row>
    <row r="653" spans="2:16" ht="15.75">
      <c r="B653" s="1" t="s">
        <v>1453</v>
      </c>
      <c r="C653" t="s">
        <v>1454</v>
      </c>
      <c r="D653">
        <v>25500</v>
      </c>
      <c r="E653">
        <v>22695</v>
      </c>
      <c r="F653">
        <v>25500</v>
      </c>
      <c r="G653" t="str">
        <f t="shared" si="90"/>
        <v>Lumber</v>
      </c>
      <c r="H653" t="str">
        <f t="shared" si="91"/>
        <v>FFE4CD</v>
      </c>
      <c r="I653" t="str">
        <f t="shared" si="92"/>
        <v>FF</v>
      </c>
      <c r="J653" t="str">
        <f t="shared" si="93"/>
        <v>E4</v>
      </c>
      <c r="K653" t="str">
        <f t="shared" si="94"/>
        <v>CD</v>
      </c>
      <c r="L653">
        <f t="shared" si="95"/>
        <v>255</v>
      </c>
      <c r="M653">
        <f t="shared" si="96"/>
        <v>228</v>
      </c>
      <c r="N653">
        <f t="shared" si="97"/>
        <v>205</v>
      </c>
      <c r="P653" t="str">
        <f t="shared" si="98"/>
        <v>.Lumber-bg{background-color:#FFE4CD;}</v>
      </c>
    </row>
    <row r="654" spans="2:16" ht="15.75">
      <c r="B654" s="1" t="s">
        <v>1455</v>
      </c>
      <c r="C654" t="s">
        <v>1456</v>
      </c>
      <c r="D654">
        <v>22950</v>
      </c>
      <c r="E654">
        <v>3315</v>
      </c>
      <c r="F654">
        <v>22950</v>
      </c>
      <c r="G654" t="str">
        <f t="shared" si="90"/>
        <v>Lust</v>
      </c>
      <c r="H654" t="str">
        <f t="shared" si="91"/>
        <v>E62020</v>
      </c>
      <c r="I654" t="str">
        <f t="shared" si="92"/>
        <v>E6</v>
      </c>
      <c r="J654" t="str">
        <f t="shared" si="93"/>
        <v>20</v>
      </c>
      <c r="K654" t="str">
        <f t="shared" si="94"/>
        <v>20</v>
      </c>
      <c r="L654">
        <f t="shared" si="95"/>
        <v>230</v>
      </c>
      <c r="M654">
        <f t="shared" si="96"/>
        <v>32</v>
      </c>
      <c r="N654">
        <f t="shared" si="97"/>
        <v>32</v>
      </c>
      <c r="P654" t="str">
        <f t="shared" si="98"/>
        <v>.Lust-bg{background-color:#E62020;}</v>
      </c>
    </row>
    <row r="655" spans="2:16" ht="15.75">
      <c r="B655" s="1" t="s">
        <v>1457</v>
      </c>
      <c r="C655" t="s">
        <v>1458</v>
      </c>
      <c r="D655">
        <v>25500</v>
      </c>
      <c r="E655">
        <v>18870</v>
      </c>
      <c r="F655">
        <v>25500</v>
      </c>
      <c r="G655" t="str">
        <f t="shared" si="90"/>
        <v>MacaroniAndCheese</v>
      </c>
      <c r="H655" t="str">
        <f t="shared" si="91"/>
        <v>FFBD88</v>
      </c>
      <c r="I655" t="str">
        <f t="shared" si="92"/>
        <v>FF</v>
      </c>
      <c r="J655" t="str">
        <f t="shared" si="93"/>
        <v>BD</v>
      </c>
      <c r="K655" t="str">
        <f t="shared" si="94"/>
        <v>88</v>
      </c>
      <c r="L655">
        <f t="shared" si="95"/>
        <v>255</v>
      </c>
      <c r="M655">
        <f t="shared" si="96"/>
        <v>189</v>
      </c>
      <c r="N655">
        <f t="shared" si="97"/>
        <v>136</v>
      </c>
      <c r="P655" t="str">
        <f t="shared" si="98"/>
        <v>.MacaroniAndCheese-bg{background-color:#FFBD88;}</v>
      </c>
    </row>
    <row r="656" spans="2:16" ht="15.75">
      <c r="B656" s="1" t="s">
        <v>1459</v>
      </c>
      <c r="C656" t="s">
        <v>1077</v>
      </c>
      <c r="D656">
        <v>25500</v>
      </c>
      <c r="E656">
        <v>0</v>
      </c>
      <c r="F656">
        <v>25500</v>
      </c>
      <c r="G656" t="str">
        <f t="shared" si="90"/>
        <v>Magenta</v>
      </c>
      <c r="H656" t="str">
        <f t="shared" si="91"/>
        <v>FF00FF</v>
      </c>
      <c r="I656" t="str">
        <f t="shared" si="92"/>
        <v>FF</v>
      </c>
      <c r="J656" t="str">
        <f t="shared" si="93"/>
        <v>00</v>
      </c>
      <c r="K656" t="str">
        <f t="shared" si="94"/>
        <v>FF</v>
      </c>
      <c r="L656">
        <f t="shared" si="95"/>
        <v>255</v>
      </c>
      <c r="M656">
        <f t="shared" si="96"/>
        <v>0</v>
      </c>
      <c r="N656">
        <f t="shared" si="97"/>
        <v>255</v>
      </c>
      <c r="P656" t="str">
        <f t="shared" si="98"/>
        <v>.Magenta-bg{background-color:#FF00FF;}</v>
      </c>
    </row>
    <row r="657" spans="2:16" ht="15.75">
      <c r="B657" s="1" t="s">
        <v>1460</v>
      </c>
      <c r="C657" t="s">
        <v>465</v>
      </c>
      <c r="D657">
        <v>25500</v>
      </c>
      <c r="E657">
        <v>8415</v>
      </c>
      <c r="F657">
        <v>25500</v>
      </c>
      <c r="G657" t="str">
        <f t="shared" si="90"/>
        <v>MagentaCrayola</v>
      </c>
      <c r="H657" t="str">
        <f t="shared" si="91"/>
        <v>FF55A3</v>
      </c>
      <c r="I657" t="str">
        <f t="shared" si="92"/>
        <v>FF</v>
      </c>
      <c r="J657" t="str">
        <f t="shared" si="93"/>
        <v>55</v>
      </c>
      <c r="K657" t="str">
        <f t="shared" si="94"/>
        <v>A3</v>
      </c>
      <c r="L657">
        <f t="shared" si="95"/>
        <v>255</v>
      </c>
      <c r="M657">
        <f t="shared" si="96"/>
        <v>85</v>
      </c>
      <c r="N657">
        <f t="shared" si="97"/>
        <v>163</v>
      </c>
      <c r="P657" t="str">
        <f t="shared" si="98"/>
        <v>.MagentaCrayola-bg{background-color:#FF55A3;}</v>
      </c>
    </row>
    <row r="658" spans="2:16" ht="15.75">
      <c r="B658" s="1" t="s">
        <v>1461</v>
      </c>
      <c r="C658" t="s">
        <v>1462</v>
      </c>
      <c r="D658">
        <v>20145</v>
      </c>
      <c r="E658">
        <v>3060</v>
      </c>
      <c r="F658">
        <v>20145</v>
      </c>
      <c r="G658" t="str">
        <f t="shared" si="90"/>
        <v>MagentaDye</v>
      </c>
      <c r="H658" t="str">
        <f t="shared" si="91"/>
        <v>CA1F7B</v>
      </c>
      <c r="I658" t="str">
        <f t="shared" si="92"/>
        <v>CA</v>
      </c>
      <c r="J658" t="str">
        <f t="shared" si="93"/>
        <v>1F</v>
      </c>
      <c r="K658" t="str">
        <f t="shared" si="94"/>
        <v>7B</v>
      </c>
      <c r="L658">
        <f t="shared" si="95"/>
        <v>202</v>
      </c>
      <c r="M658">
        <f t="shared" si="96"/>
        <v>31</v>
      </c>
      <c r="N658">
        <f t="shared" si="97"/>
        <v>123</v>
      </c>
      <c r="P658" t="str">
        <f t="shared" si="98"/>
        <v>.MagentaDye-bg{background-color:#CA1F7B;}</v>
      </c>
    </row>
    <row r="659" spans="2:16" ht="15.75">
      <c r="B659" s="1" t="s">
        <v>1463</v>
      </c>
      <c r="C659" t="s">
        <v>1464</v>
      </c>
      <c r="D659">
        <v>20910</v>
      </c>
      <c r="E659">
        <v>6375</v>
      </c>
      <c r="F659">
        <v>20910</v>
      </c>
      <c r="G659" t="str">
        <f t="shared" si="90"/>
        <v>MagentaPantone</v>
      </c>
      <c r="H659" t="str">
        <f t="shared" si="91"/>
        <v>D0417E</v>
      </c>
      <c r="I659" t="str">
        <f t="shared" si="92"/>
        <v>D0</v>
      </c>
      <c r="J659" t="str">
        <f t="shared" si="93"/>
        <v>41</v>
      </c>
      <c r="K659" t="str">
        <f t="shared" si="94"/>
        <v>7E</v>
      </c>
      <c r="L659">
        <f t="shared" si="95"/>
        <v>208</v>
      </c>
      <c r="M659">
        <f t="shared" si="96"/>
        <v>65</v>
      </c>
      <c r="N659">
        <f t="shared" si="97"/>
        <v>126</v>
      </c>
      <c r="P659" t="str">
        <f t="shared" si="98"/>
        <v>.MagentaPantone-bg{background-color:#D0417E;}</v>
      </c>
    </row>
    <row r="660" spans="2:16" ht="15.75">
      <c r="B660" s="1" t="s">
        <v>1465</v>
      </c>
      <c r="C660" t="s">
        <v>1466</v>
      </c>
      <c r="D660">
        <v>25500</v>
      </c>
      <c r="E660">
        <v>0</v>
      </c>
      <c r="F660">
        <v>25500</v>
      </c>
      <c r="G660" t="str">
        <f t="shared" si="90"/>
        <v>MagentaProcess</v>
      </c>
      <c r="H660" t="str">
        <f t="shared" si="91"/>
        <v>FF0090</v>
      </c>
      <c r="I660" t="str">
        <f t="shared" si="92"/>
        <v>FF</v>
      </c>
      <c r="J660" t="str">
        <f t="shared" si="93"/>
        <v>00</v>
      </c>
      <c r="K660" t="str">
        <f t="shared" si="94"/>
        <v>90</v>
      </c>
      <c r="L660">
        <f t="shared" si="95"/>
        <v>255</v>
      </c>
      <c r="M660">
        <f t="shared" si="96"/>
        <v>0</v>
      </c>
      <c r="N660">
        <f t="shared" si="97"/>
        <v>144</v>
      </c>
      <c r="P660" t="str">
        <f t="shared" si="98"/>
        <v>.MagentaProcess-bg{background-color:#FF0090;}</v>
      </c>
    </row>
    <row r="661" spans="2:16" ht="15.75">
      <c r="B661" s="1" t="s">
        <v>1467</v>
      </c>
      <c r="C661" t="s">
        <v>1468</v>
      </c>
      <c r="D661">
        <v>15810</v>
      </c>
      <c r="E661">
        <v>6885</v>
      </c>
      <c r="F661">
        <v>15810</v>
      </c>
      <c r="G661" t="str">
        <f t="shared" si="90"/>
        <v>MagentaHaze</v>
      </c>
      <c r="H661" t="str">
        <f t="shared" si="91"/>
        <v>9F4576</v>
      </c>
      <c r="I661" t="str">
        <f t="shared" si="92"/>
        <v>9F</v>
      </c>
      <c r="J661" t="str">
        <f t="shared" si="93"/>
        <v>45</v>
      </c>
      <c r="K661" t="str">
        <f t="shared" si="94"/>
        <v>76</v>
      </c>
      <c r="L661">
        <f t="shared" si="95"/>
        <v>159</v>
      </c>
      <c r="M661">
        <f t="shared" si="96"/>
        <v>69</v>
      </c>
      <c r="N661">
        <f t="shared" si="97"/>
        <v>118</v>
      </c>
      <c r="P661" t="str">
        <f t="shared" si="98"/>
        <v>.MagentaHaze-bg{background-color:#9F4576;}</v>
      </c>
    </row>
    <row r="662" spans="2:16" ht="15.75">
      <c r="B662" s="1" t="s">
        <v>1469</v>
      </c>
      <c r="C662" t="s">
        <v>1470</v>
      </c>
      <c r="D662">
        <v>20400</v>
      </c>
      <c r="E662">
        <v>5100</v>
      </c>
      <c r="F662">
        <v>20400</v>
      </c>
      <c r="G662" t="str">
        <f t="shared" si="90"/>
        <v>Magentapink</v>
      </c>
      <c r="H662" t="str">
        <f t="shared" si="91"/>
        <v>CC338B</v>
      </c>
      <c r="I662" t="str">
        <f t="shared" si="92"/>
        <v>CC</v>
      </c>
      <c r="J662" t="str">
        <f t="shared" si="93"/>
        <v>33</v>
      </c>
      <c r="K662" t="str">
        <f t="shared" si="94"/>
        <v>8B</v>
      </c>
      <c r="L662">
        <f t="shared" si="95"/>
        <v>204</v>
      </c>
      <c r="M662">
        <f t="shared" si="96"/>
        <v>51</v>
      </c>
      <c r="N662">
        <f t="shared" si="97"/>
        <v>139</v>
      </c>
      <c r="P662" t="str">
        <f t="shared" si="98"/>
        <v>.Magentapink-bg{background-color:#CC338B;}</v>
      </c>
    </row>
    <row r="663" spans="2:16" ht="15.75">
      <c r="B663" s="1" t="s">
        <v>1471</v>
      </c>
      <c r="C663" t="s">
        <v>1472</v>
      </c>
      <c r="D663">
        <v>17085</v>
      </c>
      <c r="E663">
        <v>23970</v>
      </c>
      <c r="F663">
        <v>17085</v>
      </c>
      <c r="G663" t="str">
        <f t="shared" si="90"/>
        <v>MagicMint</v>
      </c>
      <c r="H663" t="str">
        <f t="shared" si="91"/>
        <v>AAF0D1</v>
      </c>
      <c r="I663" t="str">
        <f t="shared" si="92"/>
        <v>AA</v>
      </c>
      <c r="J663" t="str">
        <f t="shared" si="93"/>
        <v>F0</v>
      </c>
      <c r="K663" t="str">
        <f t="shared" si="94"/>
        <v>D1</v>
      </c>
      <c r="L663">
        <f t="shared" si="95"/>
        <v>170</v>
      </c>
      <c r="M663">
        <f t="shared" si="96"/>
        <v>240</v>
      </c>
      <c r="N663">
        <f t="shared" si="97"/>
        <v>209</v>
      </c>
      <c r="P663" t="str">
        <f t="shared" si="98"/>
        <v>.MagicMint-bg{background-color:#AAF0D1;}</v>
      </c>
    </row>
    <row r="664" spans="2:16" ht="15.75">
      <c r="B664" s="1" t="s">
        <v>1473</v>
      </c>
      <c r="C664" t="s">
        <v>1474</v>
      </c>
      <c r="D664">
        <v>25500</v>
      </c>
      <c r="E664">
        <v>6885</v>
      </c>
      <c r="F664">
        <v>25500</v>
      </c>
      <c r="G664" t="str">
        <f t="shared" si="90"/>
        <v>MagicPotion</v>
      </c>
      <c r="H664" t="str">
        <f t="shared" si="91"/>
        <v>FF4466</v>
      </c>
      <c r="I664" t="str">
        <f t="shared" si="92"/>
        <v>FF</v>
      </c>
      <c r="J664" t="str">
        <f t="shared" si="93"/>
        <v>44</v>
      </c>
      <c r="K664" t="str">
        <f t="shared" si="94"/>
        <v>66</v>
      </c>
      <c r="L664">
        <f t="shared" si="95"/>
        <v>255</v>
      </c>
      <c r="M664">
        <f t="shared" si="96"/>
        <v>68</v>
      </c>
      <c r="N664">
        <f t="shared" si="97"/>
        <v>102</v>
      </c>
      <c r="P664" t="str">
        <f t="shared" si="98"/>
        <v>.MagicPotion-bg{background-color:#FF4466;}</v>
      </c>
    </row>
    <row r="665" spans="2:16" ht="15.75">
      <c r="B665" s="1" t="s">
        <v>1475</v>
      </c>
      <c r="C665" t="s">
        <v>1476</v>
      </c>
      <c r="D665">
        <v>24735</v>
      </c>
      <c r="E665">
        <v>24480</v>
      </c>
      <c r="F665">
        <v>24735</v>
      </c>
      <c r="G665" t="str">
        <f t="shared" si="90"/>
        <v>Magnolia</v>
      </c>
      <c r="H665" t="str">
        <f t="shared" si="91"/>
        <v>F8F4FF</v>
      </c>
      <c r="I665" t="str">
        <f t="shared" si="92"/>
        <v>F8</v>
      </c>
      <c r="J665" t="str">
        <f t="shared" si="93"/>
        <v>F4</v>
      </c>
      <c r="K665" t="str">
        <f t="shared" si="94"/>
        <v>FF</v>
      </c>
      <c r="L665">
        <f t="shared" si="95"/>
        <v>248</v>
      </c>
      <c r="M665">
        <f t="shared" si="96"/>
        <v>244</v>
      </c>
      <c r="N665">
        <f t="shared" si="97"/>
        <v>255</v>
      </c>
      <c r="P665" t="str">
        <f t="shared" si="98"/>
        <v>.Magnolia-bg{background-color:#F8F4FF;}</v>
      </c>
    </row>
    <row r="666" spans="2:16" ht="15.75">
      <c r="B666" s="1" t="s">
        <v>1477</v>
      </c>
      <c r="C666" t="s">
        <v>1478</v>
      </c>
      <c r="D666">
        <v>19125</v>
      </c>
      <c r="E666">
        <v>6375</v>
      </c>
      <c r="F666">
        <v>19125</v>
      </c>
      <c r="G666" t="str">
        <f t="shared" si="90"/>
        <v>Mahogany</v>
      </c>
      <c r="H666" t="str">
        <f t="shared" si="91"/>
        <v>C04000</v>
      </c>
      <c r="I666" t="str">
        <f t="shared" si="92"/>
        <v>C0</v>
      </c>
      <c r="J666" t="str">
        <f t="shared" si="93"/>
        <v>40</v>
      </c>
      <c r="K666" t="str">
        <f t="shared" si="94"/>
        <v>00</v>
      </c>
      <c r="L666">
        <f t="shared" si="95"/>
        <v>192</v>
      </c>
      <c r="M666">
        <f t="shared" si="96"/>
        <v>64</v>
      </c>
      <c r="N666">
        <f t="shared" si="97"/>
        <v>0</v>
      </c>
      <c r="P666" t="str">
        <f t="shared" si="98"/>
        <v>.Mahogany-bg{background-color:#C04000;}</v>
      </c>
    </row>
    <row r="667" spans="2:16" ht="15.75">
      <c r="B667" s="1" t="s">
        <v>1479</v>
      </c>
      <c r="C667" t="s">
        <v>687</v>
      </c>
      <c r="D667">
        <v>24990</v>
      </c>
      <c r="E667">
        <v>23715</v>
      </c>
      <c r="F667">
        <v>24990</v>
      </c>
      <c r="G667" t="str">
        <f t="shared" si="90"/>
        <v>Maize</v>
      </c>
      <c r="H667" t="str">
        <f t="shared" si="91"/>
        <v>FBEC5D</v>
      </c>
      <c r="I667" t="str">
        <f t="shared" si="92"/>
        <v>FB</v>
      </c>
      <c r="J667" t="str">
        <f t="shared" si="93"/>
        <v>EC</v>
      </c>
      <c r="K667" t="str">
        <f t="shared" si="94"/>
        <v>5D</v>
      </c>
      <c r="L667">
        <f t="shared" si="95"/>
        <v>251</v>
      </c>
      <c r="M667">
        <f t="shared" si="96"/>
        <v>236</v>
      </c>
      <c r="N667">
        <f t="shared" si="97"/>
        <v>93</v>
      </c>
      <c r="P667" t="str">
        <f t="shared" si="98"/>
        <v>.Maize-bg{background-color:#FBEC5D;}</v>
      </c>
    </row>
    <row r="668" spans="2:16" ht="15.75">
      <c r="B668" s="1" t="s">
        <v>1480</v>
      </c>
      <c r="C668" t="s">
        <v>1481</v>
      </c>
      <c r="D668">
        <v>9690</v>
      </c>
      <c r="E668">
        <v>7905</v>
      </c>
      <c r="F668">
        <v>9690</v>
      </c>
      <c r="G668" t="str">
        <f t="shared" si="90"/>
        <v>MajorelleBlue</v>
      </c>
      <c r="H668" t="str">
        <f t="shared" si="91"/>
        <v>6050DC</v>
      </c>
      <c r="I668" t="str">
        <f t="shared" si="92"/>
        <v>60</v>
      </c>
      <c r="J668" t="str">
        <f t="shared" si="93"/>
        <v>50</v>
      </c>
      <c r="K668" t="str">
        <f t="shared" si="94"/>
        <v>DC</v>
      </c>
      <c r="L668">
        <f t="shared" si="95"/>
        <v>96</v>
      </c>
      <c r="M668">
        <f t="shared" si="96"/>
        <v>80</v>
      </c>
      <c r="N668">
        <f t="shared" si="97"/>
        <v>220</v>
      </c>
      <c r="P668" t="str">
        <f t="shared" si="98"/>
        <v>.MajorelleBlue-bg{background-color:#6050DC;}</v>
      </c>
    </row>
    <row r="669" spans="2:16" ht="15.75">
      <c r="B669" s="1" t="s">
        <v>1482</v>
      </c>
      <c r="C669" t="s">
        <v>1483</v>
      </c>
      <c r="D669">
        <v>1020</v>
      </c>
      <c r="E669">
        <v>21675</v>
      </c>
      <c r="F669">
        <v>1020</v>
      </c>
      <c r="G669" t="str">
        <f t="shared" si="90"/>
        <v>Malachite</v>
      </c>
      <c r="H669" t="str">
        <f t="shared" si="91"/>
        <v>0BDA51</v>
      </c>
      <c r="I669" t="str">
        <f t="shared" si="92"/>
        <v>0B</v>
      </c>
      <c r="J669" t="str">
        <f t="shared" si="93"/>
        <v>DA</v>
      </c>
      <c r="K669" t="str">
        <f t="shared" si="94"/>
        <v>51</v>
      </c>
      <c r="L669">
        <f t="shared" si="95"/>
        <v>11</v>
      </c>
      <c r="M669">
        <f t="shared" si="96"/>
        <v>218</v>
      </c>
      <c r="N669">
        <f t="shared" si="97"/>
        <v>81</v>
      </c>
      <c r="P669" t="str">
        <f t="shared" si="98"/>
        <v>.Malachite-bg{background-color:#0BDA51;}</v>
      </c>
    </row>
    <row r="670" spans="2:16" ht="15.75">
      <c r="B670" s="1" t="s">
        <v>1484</v>
      </c>
      <c r="C670" t="s">
        <v>1485</v>
      </c>
      <c r="D670">
        <v>15045</v>
      </c>
      <c r="E670">
        <v>15300</v>
      </c>
      <c r="F670">
        <v>15045</v>
      </c>
      <c r="G670" t="str">
        <f t="shared" si="90"/>
        <v>Manatee</v>
      </c>
      <c r="H670" t="str">
        <f t="shared" si="91"/>
        <v>979AAA</v>
      </c>
      <c r="I670" t="str">
        <f t="shared" si="92"/>
        <v>97</v>
      </c>
      <c r="J670" t="str">
        <f t="shared" si="93"/>
        <v>9A</v>
      </c>
      <c r="K670" t="str">
        <f t="shared" si="94"/>
        <v>AA</v>
      </c>
      <c r="L670">
        <f t="shared" si="95"/>
        <v>151</v>
      </c>
      <c r="M670">
        <f t="shared" si="96"/>
        <v>154</v>
      </c>
      <c r="N670">
        <f t="shared" si="97"/>
        <v>170</v>
      </c>
      <c r="P670" t="str">
        <f t="shared" si="98"/>
        <v>.Manatee-bg{background-color:#979AAA;}</v>
      </c>
    </row>
    <row r="671" spans="2:16" ht="15.75">
      <c r="B671" s="1" t="s">
        <v>1486</v>
      </c>
      <c r="C671" t="s">
        <v>1487</v>
      </c>
      <c r="D671">
        <v>24225</v>
      </c>
      <c r="E671">
        <v>12240</v>
      </c>
      <c r="F671">
        <v>24225</v>
      </c>
      <c r="G671" t="str">
        <f t="shared" si="90"/>
        <v>Mandarin</v>
      </c>
      <c r="H671" t="str">
        <f t="shared" si="91"/>
        <v>F37A48</v>
      </c>
      <c r="I671" t="str">
        <f t="shared" si="92"/>
        <v>F3</v>
      </c>
      <c r="J671" t="str">
        <f t="shared" si="93"/>
        <v>7A</v>
      </c>
      <c r="K671" t="str">
        <f t="shared" si="94"/>
        <v>48</v>
      </c>
      <c r="L671">
        <f t="shared" si="95"/>
        <v>243</v>
      </c>
      <c r="M671">
        <f t="shared" si="96"/>
        <v>122</v>
      </c>
      <c r="N671">
        <f t="shared" si="97"/>
        <v>72</v>
      </c>
      <c r="P671" t="str">
        <f t="shared" si="98"/>
        <v>.Mandarin-bg{background-color:#F37A48;}</v>
      </c>
    </row>
    <row r="672" spans="2:16" ht="15.75">
      <c r="B672" s="1" t="s">
        <v>1488</v>
      </c>
      <c r="C672" t="s">
        <v>1489</v>
      </c>
      <c r="D672">
        <v>25500</v>
      </c>
      <c r="E672">
        <v>13005</v>
      </c>
      <c r="F672">
        <v>25500</v>
      </c>
      <c r="G672" t="str">
        <f t="shared" si="90"/>
        <v>MangoTango</v>
      </c>
      <c r="H672" t="str">
        <f t="shared" si="91"/>
        <v>FF8243</v>
      </c>
      <c r="I672" t="str">
        <f t="shared" si="92"/>
        <v>FF</v>
      </c>
      <c r="J672" t="str">
        <f t="shared" si="93"/>
        <v>82</v>
      </c>
      <c r="K672" t="str">
        <f t="shared" si="94"/>
        <v>43</v>
      </c>
      <c r="L672">
        <f t="shared" si="95"/>
        <v>255</v>
      </c>
      <c r="M672">
        <f t="shared" si="96"/>
        <v>130</v>
      </c>
      <c r="N672">
        <f t="shared" si="97"/>
        <v>67</v>
      </c>
      <c r="P672" t="str">
        <f t="shared" si="98"/>
        <v>.MangoTango-bg{background-color:#FF8243;}</v>
      </c>
    </row>
    <row r="673" spans="2:16" ht="15.75">
      <c r="B673" s="1" t="s">
        <v>1490</v>
      </c>
      <c r="C673" t="s">
        <v>1491</v>
      </c>
      <c r="D673">
        <v>11475</v>
      </c>
      <c r="E673">
        <v>19380</v>
      </c>
      <c r="F673">
        <v>11475</v>
      </c>
      <c r="G673" t="str">
        <f t="shared" si="90"/>
        <v>Mantis</v>
      </c>
      <c r="H673" t="str">
        <f t="shared" si="91"/>
        <v>74C365</v>
      </c>
      <c r="I673" t="str">
        <f t="shared" si="92"/>
        <v>74</v>
      </c>
      <c r="J673" t="str">
        <f t="shared" si="93"/>
        <v>C3</v>
      </c>
      <c r="K673" t="str">
        <f t="shared" si="94"/>
        <v>65</v>
      </c>
      <c r="L673">
        <f t="shared" si="95"/>
        <v>116</v>
      </c>
      <c r="M673">
        <f t="shared" si="96"/>
        <v>195</v>
      </c>
      <c r="N673">
        <f t="shared" si="97"/>
        <v>101</v>
      </c>
      <c r="P673" t="str">
        <f t="shared" si="98"/>
        <v>.Mantis-bg{background-color:#74C365;}</v>
      </c>
    </row>
    <row r="674" spans="2:16" ht="15.75">
      <c r="B674" s="1" t="s">
        <v>1492</v>
      </c>
      <c r="C674" t="s">
        <v>1493</v>
      </c>
      <c r="D674">
        <v>13515</v>
      </c>
      <c r="E674">
        <v>0</v>
      </c>
      <c r="F674">
        <v>13515</v>
      </c>
      <c r="G674" t="str">
        <f t="shared" si="90"/>
        <v>MardiGras</v>
      </c>
      <c r="H674" t="str">
        <f t="shared" si="91"/>
        <v>880085</v>
      </c>
      <c r="I674" t="str">
        <f t="shared" si="92"/>
        <v>88</v>
      </c>
      <c r="J674" t="str">
        <f t="shared" si="93"/>
        <v>00</v>
      </c>
      <c r="K674" t="str">
        <f t="shared" si="94"/>
        <v>85</v>
      </c>
      <c r="L674">
        <f t="shared" si="95"/>
        <v>136</v>
      </c>
      <c r="M674">
        <f t="shared" si="96"/>
        <v>0</v>
      </c>
      <c r="N674">
        <f t="shared" si="97"/>
        <v>133</v>
      </c>
      <c r="P674" t="str">
        <f t="shared" si="98"/>
        <v>.MardiGras-bg{background-color:#880085;}</v>
      </c>
    </row>
    <row r="675" spans="2:16" ht="15.75">
      <c r="B675" s="1" t="s">
        <v>1494</v>
      </c>
      <c r="C675" t="s">
        <v>1495</v>
      </c>
      <c r="D675">
        <v>23460</v>
      </c>
      <c r="E675">
        <v>16320</v>
      </c>
      <c r="F675">
        <v>23460</v>
      </c>
      <c r="G675" t="str">
        <f t="shared" si="90"/>
        <v>Marigold</v>
      </c>
      <c r="H675" t="str">
        <f t="shared" si="91"/>
        <v>EAA221</v>
      </c>
      <c r="I675" t="str">
        <f t="shared" si="92"/>
        <v>EA</v>
      </c>
      <c r="J675" t="str">
        <f t="shared" si="93"/>
        <v>A2</v>
      </c>
      <c r="K675" t="str">
        <f t="shared" si="94"/>
        <v>21</v>
      </c>
      <c r="L675">
        <f t="shared" si="95"/>
        <v>234</v>
      </c>
      <c r="M675">
        <f t="shared" si="96"/>
        <v>162</v>
      </c>
      <c r="N675">
        <f t="shared" si="97"/>
        <v>33</v>
      </c>
      <c r="P675" t="str">
        <f t="shared" si="98"/>
        <v>.Marigold-bg{background-color:#EAA221;}</v>
      </c>
    </row>
    <row r="676" spans="2:16" ht="15.75">
      <c r="B676" s="1" t="s">
        <v>1496</v>
      </c>
      <c r="C676" t="s">
        <v>449</v>
      </c>
      <c r="D676">
        <v>19380</v>
      </c>
      <c r="E676">
        <v>3315</v>
      </c>
      <c r="F676">
        <v>19380</v>
      </c>
      <c r="G676" t="str">
        <f t="shared" si="90"/>
        <v>MaroonCrayola</v>
      </c>
      <c r="H676" t="str">
        <f t="shared" si="91"/>
        <v>C32148</v>
      </c>
      <c r="I676" t="str">
        <f t="shared" si="92"/>
        <v>C3</v>
      </c>
      <c r="J676" t="str">
        <f t="shared" si="93"/>
        <v>21</v>
      </c>
      <c r="K676" t="str">
        <f t="shared" si="94"/>
        <v>48</v>
      </c>
      <c r="L676">
        <f t="shared" si="95"/>
        <v>195</v>
      </c>
      <c r="M676">
        <f t="shared" si="96"/>
        <v>33</v>
      </c>
      <c r="N676">
        <f t="shared" si="97"/>
        <v>72</v>
      </c>
      <c r="P676" t="str">
        <f t="shared" si="98"/>
        <v>.MaroonCrayola-bg{background-color:#C32148;}</v>
      </c>
    </row>
    <row r="677" spans="2:16" ht="15.75">
      <c r="B677" s="1" t="s">
        <v>1497</v>
      </c>
      <c r="C677" t="s">
        <v>1498</v>
      </c>
      <c r="D677">
        <v>12750</v>
      </c>
      <c r="E677">
        <v>0</v>
      </c>
      <c r="F677">
        <v>12750</v>
      </c>
      <c r="G677" t="str">
        <f t="shared" si="90"/>
        <v>MaroonHtmlcss</v>
      </c>
      <c r="H677" t="str">
        <f t="shared" si="91"/>
        <v>800000</v>
      </c>
      <c r="I677" t="str">
        <f t="shared" si="92"/>
        <v>80</v>
      </c>
      <c r="J677" t="str">
        <f t="shared" si="93"/>
        <v>00</v>
      </c>
      <c r="K677" t="str">
        <f t="shared" si="94"/>
        <v>00</v>
      </c>
      <c r="L677">
        <f t="shared" si="95"/>
        <v>128</v>
      </c>
      <c r="M677">
        <f t="shared" si="96"/>
        <v>0</v>
      </c>
      <c r="N677">
        <f t="shared" si="97"/>
        <v>0</v>
      </c>
      <c r="P677" t="str">
        <f t="shared" si="98"/>
        <v>.MaroonHtmlcss-bg{background-color:#800000;}</v>
      </c>
    </row>
    <row r="678" spans="2:16" ht="15.75">
      <c r="B678" s="1" t="s">
        <v>1499</v>
      </c>
      <c r="C678" t="s">
        <v>1500</v>
      </c>
      <c r="D678">
        <v>17595</v>
      </c>
      <c r="E678">
        <v>4845</v>
      </c>
      <c r="F678">
        <v>17595</v>
      </c>
      <c r="G678" t="str">
        <f t="shared" si="90"/>
        <v>MaroonX11</v>
      </c>
      <c r="H678" t="str">
        <f t="shared" si="91"/>
        <v>B03060</v>
      </c>
      <c r="I678" t="str">
        <f t="shared" si="92"/>
        <v>B0</v>
      </c>
      <c r="J678" t="str">
        <f t="shared" si="93"/>
        <v>30</v>
      </c>
      <c r="K678" t="str">
        <f t="shared" si="94"/>
        <v>60</v>
      </c>
      <c r="L678">
        <f t="shared" si="95"/>
        <v>176</v>
      </c>
      <c r="M678">
        <f t="shared" si="96"/>
        <v>48</v>
      </c>
      <c r="N678">
        <f t="shared" si="97"/>
        <v>96</v>
      </c>
      <c r="P678" t="str">
        <f t="shared" si="98"/>
        <v>.MaroonX11-bg{background-color:#B03060;}</v>
      </c>
    </row>
    <row r="679" spans="2:16" ht="15.75">
      <c r="B679" s="1" t="s">
        <v>1501</v>
      </c>
      <c r="C679" t="s">
        <v>1502</v>
      </c>
      <c r="D679">
        <v>22440</v>
      </c>
      <c r="E679">
        <v>17595</v>
      </c>
      <c r="F679">
        <v>22440</v>
      </c>
      <c r="G679" t="str">
        <f t="shared" si="90"/>
        <v>Mauve</v>
      </c>
      <c r="H679" t="str">
        <f t="shared" si="91"/>
        <v>E0B0FF</v>
      </c>
      <c r="I679" t="str">
        <f t="shared" si="92"/>
        <v>E0</v>
      </c>
      <c r="J679" t="str">
        <f t="shared" si="93"/>
        <v>B0</v>
      </c>
      <c r="K679" t="str">
        <f t="shared" si="94"/>
        <v>FF</v>
      </c>
      <c r="L679">
        <f t="shared" si="95"/>
        <v>224</v>
      </c>
      <c r="M679">
        <f t="shared" si="96"/>
        <v>176</v>
      </c>
      <c r="N679">
        <f t="shared" si="97"/>
        <v>255</v>
      </c>
      <c r="P679" t="str">
        <f t="shared" si="98"/>
        <v>.Mauve-bg{background-color:#E0B0FF;}</v>
      </c>
    </row>
    <row r="680" spans="2:16" ht="15.75">
      <c r="B680" s="1" t="s">
        <v>1503</v>
      </c>
      <c r="C680" t="s">
        <v>1504</v>
      </c>
      <c r="D680">
        <v>14535</v>
      </c>
      <c r="E680">
        <v>9435</v>
      </c>
      <c r="F680">
        <v>14535</v>
      </c>
      <c r="G680" t="str">
        <f t="shared" si="90"/>
        <v>MauveTaupe</v>
      </c>
      <c r="H680" t="str">
        <f t="shared" si="91"/>
        <v>915F6D</v>
      </c>
      <c r="I680" t="str">
        <f t="shared" si="92"/>
        <v>91</v>
      </c>
      <c r="J680" t="str">
        <f t="shared" si="93"/>
        <v>5F</v>
      </c>
      <c r="K680" t="str">
        <f t="shared" si="94"/>
        <v>6D</v>
      </c>
      <c r="L680">
        <f t="shared" si="95"/>
        <v>145</v>
      </c>
      <c r="M680">
        <f t="shared" si="96"/>
        <v>95</v>
      </c>
      <c r="N680">
        <f t="shared" si="97"/>
        <v>109</v>
      </c>
      <c r="P680" t="str">
        <f t="shared" si="98"/>
        <v>.MauveTaupe-bg{background-color:#915F6D;}</v>
      </c>
    </row>
    <row r="681" spans="2:16" ht="15.75">
      <c r="B681" s="1" t="s">
        <v>1505</v>
      </c>
      <c r="C681" t="s">
        <v>1506</v>
      </c>
      <c r="D681">
        <v>23970</v>
      </c>
      <c r="E681">
        <v>15300</v>
      </c>
      <c r="F681">
        <v>23970</v>
      </c>
      <c r="G681" t="str">
        <f t="shared" si="90"/>
        <v>Mauvelous</v>
      </c>
      <c r="H681" t="str">
        <f t="shared" si="91"/>
        <v>EF98AA</v>
      </c>
      <c r="I681" t="str">
        <f t="shared" si="92"/>
        <v>EF</v>
      </c>
      <c r="J681" t="str">
        <f t="shared" si="93"/>
        <v>98</v>
      </c>
      <c r="K681" t="str">
        <f t="shared" si="94"/>
        <v>AA</v>
      </c>
      <c r="L681">
        <f t="shared" si="95"/>
        <v>239</v>
      </c>
      <c r="M681">
        <f t="shared" si="96"/>
        <v>152</v>
      </c>
      <c r="N681">
        <f t="shared" si="97"/>
        <v>170</v>
      </c>
      <c r="P681" t="str">
        <f t="shared" si="98"/>
        <v>.Mauvelous-bg{background-color:#EF98AA;}</v>
      </c>
    </row>
    <row r="682" spans="2:16" ht="15.75">
      <c r="B682" s="1" t="s">
        <v>1507</v>
      </c>
      <c r="C682" t="s">
        <v>1508</v>
      </c>
      <c r="D682">
        <v>7140</v>
      </c>
      <c r="E682">
        <v>17085</v>
      </c>
      <c r="F682">
        <v>7140</v>
      </c>
      <c r="G682" t="str">
        <f t="shared" si="90"/>
        <v>MaximumBlue</v>
      </c>
      <c r="H682" t="str">
        <f t="shared" si="91"/>
        <v>47ABCC</v>
      </c>
      <c r="I682" t="str">
        <f t="shared" si="92"/>
        <v>47</v>
      </c>
      <c r="J682" t="str">
        <f t="shared" si="93"/>
        <v>AB</v>
      </c>
      <c r="K682" t="str">
        <f t="shared" si="94"/>
        <v>CC</v>
      </c>
      <c r="L682">
        <f t="shared" si="95"/>
        <v>71</v>
      </c>
      <c r="M682">
        <f t="shared" si="96"/>
        <v>171</v>
      </c>
      <c r="N682">
        <f t="shared" si="97"/>
        <v>204</v>
      </c>
      <c r="P682" t="str">
        <f t="shared" si="98"/>
        <v>.MaximumBlue-bg{background-color:#47ABCC;}</v>
      </c>
    </row>
    <row r="683" spans="2:16" ht="15.75">
      <c r="B683" s="1" t="s">
        <v>1509</v>
      </c>
      <c r="C683" t="s">
        <v>1510</v>
      </c>
      <c r="D683">
        <v>24990</v>
      </c>
      <c r="E683">
        <v>24990</v>
      </c>
      <c r="F683">
        <v>24990</v>
      </c>
      <c r="G683" t="str">
        <f t="shared" si="90"/>
        <v>MaximumYellow</v>
      </c>
      <c r="H683" t="str">
        <f t="shared" si="91"/>
        <v>FAFA37</v>
      </c>
      <c r="I683" t="str">
        <f t="shared" si="92"/>
        <v>FA</v>
      </c>
      <c r="J683" t="str">
        <f t="shared" si="93"/>
        <v>FA</v>
      </c>
      <c r="K683" t="str">
        <f t="shared" si="94"/>
        <v>37</v>
      </c>
      <c r="L683">
        <f t="shared" si="95"/>
        <v>250</v>
      </c>
      <c r="M683">
        <f t="shared" si="96"/>
        <v>250</v>
      </c>
      <c r="N683">
        <f t="shared" si="97"/>
        <v>55</v>
      </c>
      <c r="P683" t="str">
        <f t="shared" si="98"/>
        <v>.MaximumYellow-bg{background-color:#FAFA37;}</v>
      </c>
    </row>
    <row r="684" spans="2:16" ht="15.75">
      <c r="B684" s="1" t="s">
        <v>1511</v>
      </c>
      <c r="C684" t="s">
        <v>1512</v>
      </c>
      <c r="D684">
        <v>7650</v>
      </c>
      <c r="E684">
        <v>14535</v>
      </c>
      <c r="F684">
        <v>7650</v>
      </c>
      <c r="G684" t="str">
        <f t="shared" si="90"/>
        <v>MayGreen</v>
      </c>
      <c r="H684" t="str">
        <f t="shared" si="91"/>
        <v>4C9141</v>
      </c>
      <c r="I684" t="str">
        <f t="shared" si="92"/>
        <v>4C</v>
      </c>
      <c r="J684" t="str">
        <f t="shared" si="93"/>
        <v>91</v>
      </c>
      <c r="K684" t="str">
        <f t="shared" si="94"/>
        <v>41</v>
      </c>
      <c r="L684">
        <f t="shared" si="95"/>
        <v>76</v>
      </c>
      <c r="M684">
        <f t="shared" si="96"/>
        <v>145</v>
      </c>
      <c r="N684">
        <f t="shared" si="97"/>
        <v>65</v>
      </c>
      <c r="P684" t="str">
        <f t="shared" si="98"/>
        <v>.MayGreen-bg{background-color:#4C9141;}</v>
      </c>
    </row>
    <row r="685" spans="2:16" ht="15.75">
      <c r="B685" s="1" t="s">
        <v>1513</v>
      </c>
      <c r="C685" t="s">
        <v>1514</v>
      </c>
      <c r="D685">
        <v>11475</v>
      </c>
      <c r="E685">
        <v>19380</v>
      </c>
      <c r="F685">
        <v>11475</v>
      </c>
      <c r="G685" t="str">
        <f t="shared" si="90"/>
        <v>MayaBlue</v>
      </c>
      <c r="H685" t="str">
        <f t="shared" si="91"/>
        <v>73C2FB</v>
      </c>
      <c r="I685" t="str">
        <f t="shared" si="92"/>
        <v>73</v>
      </c>
      <c r="J685" t="str">
        <f t="shared" si="93"/>
        <v>C2</v>
      </c>
      <c r="K685" t="str">
        <f t="shared" si="94"/>
        <v>FB</v>
      </c>
      <c r="L685">
        <f t="shared" si="95"/>
        <v>115</v>
      </c>
      <c r="M685">
        <f t="shared" si="96"/>
        <v>194</v>
      </c>
      <c r="N685">
        <f t="shared" si="97"/>
        <v>251</v>
      </c>
      <c r="P685" t="str">
        <f t="shared" si="98"/>
        <v>.MayaBlue-bg{background-color:#73C2FB;}</v>
      </c>
    </row>
    <row r="686" spans="2:16" ht="15.75">
      <c r="B686" s="1" t="s">
        <v>1515</v>
      </c>
      <c r="C686" t="s">
        <v>1516</v>
      </c>
      <c r="D686">
        <v>22950</v>
      </c>
      <c r="E686">
        <v>18360</v>
      </c>
      <c r="F686">
        <v>22950</v>
      </c>
      <c r="G686" t="str">
        <f t="shared" si="90"/>
        <v>MeatBrown</v>
      </c>
      <c r="H686" t="str">
        <f t="shared" si="91"/>
        <v>E5B73B</v>
      </c>
      <c r="I686" t="str">
        <f t="shared" si="92"/>
        <v>E5</v>
      </c>
      <c r="J686" t="str">
        <f t="shared" si="93"/>
        <v>B7</v>
      </c>
      <c r="K686" t="str">
        <f t="shared" si="94"/>
        <v>3B</v>
      </c>
      <c r="L686">
        <f t="shared" si="95"/>
        <v>229</v>
      </c>
      <c r="M686">
        <f t="shared" si="96"/>
        <v>183</v>
      </c>
      <c r="N686">
        <f t="shared" si="97"/>
        <v>59</v>
      </c>
      <c r="P686" t="str">
        <f t="shared" si="98"/>
        <v>.MeatBrown-bg{background-color:#E5B73B;}</v>
      </c>
    </row>
    <row r="687" spans="2:16" ht="15.75">
      <c r="B687" s="1" t="s">
        <v>1517</v>
      </c>
      <c r="C687" t="s">
        <v>1518</v>
      </c>
      <c r="D687">
        <v>10200</v>
      </c>
      <c r="E687">
        <v>22185</v>
      </c>
      <c r="F687">
        <v>10200</v>
      </c>
      <c r="G687" t="str">
        <f t="shared" si="90"/>
        <v>MediumAquamarine</v>
      </c>
      <c r="H687" t="str">
        <f t="shared" si="91"/>
        <v>66DDAA</v>
      </c>
      <c r="I687" t="str">
        <f t="shared" si="92"/>
        <v>66</v>
      </c>
      <c r="J687" t="str">
        <f t="shared" si="93"/>
        <v>DD</v>
      </c>
      <c r="K687" t="str">
        <f t="shared" si="94"/>
        <v>AA</v>
      </c>
      <c r="L687">
        <f t="shared" si="95"/>
        <v>102</v>
      </c>
      <c r="M687">
        <f t="shared" si="96"/>
        <v>221</v>
      </c>
      <c r="N687">
        <f t="shared" si="97"/>
        <v>170</v>
      </c>
      <c r="P687" t="str">
        <f t="shared" si="98"/>
        <v>.MediumAquamarine-bg{background-color:#66DDAA;}</v>
      </c>
    </row>
    <row r="688" spans="2:16" ht="15.75">
      <c r="B688" s="1" t="s">
        <v>1519</v>
      </c>
      <c r="C688" t="s">
        <v>1520</v>
      </c>
      <c r="D688">
        <v>0</v>
      </c>
      <c r="E688">
        <v>0</v>
      </c>
      <c r="F688">
        <v>0</v>
      </c>
      <c r="G688" t="str">
        <f t="shared" si="90"/>
        <v>MediumBlue</v>
      </c>
      <c r="H688" t="str">
        <f t="shared" si="91"/>
        <v>0000CD</v>
      </c>
      <c r="I688" t="str">
        <f t="shared" si="92"/>
        <v>00</v>
      </c>
      <c r="J688" t="str">
        <f t="shared" si="93"/>
        <v>00</v>
      </c>
      <c r="K688" t="str">
        <f t="shared" si="94"/>
        <v>CD</v>
      </c>
      <c r="L688">
        <f t="shared" si="95"/>
        <v>0</v>
      </c>
      <c r="M688">
        <f t="shared" si="96"/>
        <v>0</v>
      </c>
      <c r="N688">
        <f t="shared" si="97"/>
        <v>205</v>
      </c>
      <c r="P688" t="str">
        <f t="shared" si="98"/>
        <v>.MediumBlue-bg{background-color:#0000CD;}</v>
      </c>
    </row>
    <row r="689" spans="2:16" ht="15.75">
      <c r="B689" s="1" t="s">
        <v>1521</v>
      </c>
      <c r="C689" t="s">
        <v>1522</v>
      </c>
      <c r="D689">
        <v>22695</v>
      </c>
      <c r="E689">
        <v>510</v>
      </c>
      <c r="F689">
        <v>22695</v>
      </c>
      <c r="G689" t="str">
        <f t="shared" si="90"/>
        <v>MediumCandyAppleRed</v>
      </c>
      <c r="H689" t="str">
        <f t="shared" si="91"/>
        <v>E2062C</v>
      </c>
      <c r="I689" t="str">
        <f t="shared" si="92"/>
        <v>E2</v>
      </c>
      <c r="J689" t="str">
        <f t="shared" si="93"/>
        <v>06</v>
      </c>
      <c r="K689" t="str">
        <f t="shared" si="94"/>
        <v>2C</v>
      </c>
      <c r="L689">
        <f t="shared" si="95"/>
        <v>226</v>
      </c>
      <c r="M689">
        <f t="shared" si="96"/>
        <v>6</v>
      </c>
      <c r="N689">
        <f t="shared" si="97"/>
        <v>44</v>
      </c>
      <c r="P689" t="str">
        <f t="shared" si="98"/>
        <v>.MediumCandyAppleRed-bg{background-color:#E2062C;}</v>
      </c>
    </row>
    <row r="690" spans="2:16" ht="15.75">
      <c r="B690" s="1" t="s">
        <v>1523</v>
      </c>
      <c r="C690" t="s">
        <v>1524</v>
      </c>
      <c r="D690">
        <v>17595</v>
      </c>
      <c r="E690">
        <v>6375</v>
      </c>
      <c r="F690">
        <v>17595</v>
      </c>
      <c r="G690" t="str">
        <f t="shared" si="90"/>
        <v>MediumCarmine</v>
      </c>
      <c r="H690" t="str">
        <f t="shared" si="91"/>
        <v>AF4035</v>
      </c>
      <c r="I690" t="str">
        <f t="shared" si="92"/>
        <v>AF</v>
      </c>
      <c r="J690" t="str">
        <f t="shared" si="93"/>
        <v>40</v>
      </c>
      <c r="K690" t="str">
        <f t="shared" si="94"/>
        <v>35</v>
      </c>
      <c r="L690">
        <f t="shared" si="95"/>
        <v>175</v>
      </c>
      <c r="M690">
        <f t="shared" si="96"/>
        <v>64</v>
      </c>
      <c r="N690">
        <f t="shared" si="97"/>
        <v>53</v>
      </c>
      <c r="P690" t="str">
        <f t="shared" si="98"/>
        <v>.MediumCarmine-bg{background-color:#AF4035;}</v>
      </c>
    </row>
    <row r="691" spans="2:16" ht="15.75">
      <c r="B691" s="1" t="s">
        <v>1525</v>
      </c>
      <c r="C691" t="s">
        <v>1526</v>
      </c>
      <c r="D691">
        <v>24225</v>
      </c>
      <c r="E691">
        <v>22950</v>
      </c>
      <c r="F691">
        <v>24225</v>
      </c>
      <c r="G691" t="str">
        <f t="shared" si="90"/>
        <v>MediumChampagne</v>
      </c>
      <c r="H691" t="str">
        <f t="shared" si="91"/>
        <v>F3E5AB</v>
      </c>
      <c r="I691" t="str">
        <f t="shared" si="92"/>
        <v>F3</v>
      </c>
      <c r="J691" t="str">
        <f t="shared" si="93"/>
        <v>E5</v>
      </c>
      <c r="K691" t="str">
        <f t="shared" si="94"/>
        <v>AB</v>
      </c>
      <c r="L691">
        <f t="shared" si="95"/>
        <v>243</v>
      </c>
      <c r="M691">
        <f t="shared" si="96"/>
        <v>229</v>
      </c>
      <c r="N691">
        <f t="shared" si="97"/>
        <v>171</v>
      </c>
      <c r="P691" t="str">
        <f t="shared" si="98"/>
        <v>.MediumChampagne-bg{background-color:#F3E5AB;}</v>
      </c>
    </row>
    <row r="692" spans="2:16" ht="15.75">
      <c r="B692" s="1" t="s">
        <v>1527</v>
      </c>
      <c r="C692" t="s">
        <v>1528</v>
      </c>
      <c r="D692">
        <v>255</v>
      </c>
      <c r="E692">
        <v>7905</v>
      </c>
      <c r="F692">
        <v>255</v>
      </c>
      <c r="G692" t="str">
        <f t="shared" si="90"/>
        <v>MediumElectricBlue</v>
      </c>
      <c r="H692" t="str">
        <f t="shared" si="91"/>
        <v>035096</v>
      </c>
      <c r="I692" t="str">
        <f t="shared" si="92"/>
        <v>03</v>
      </c>
      <c r="J692" t="str">
        <f t="shared" si="93"/>
        <v>50</v>
      </c>
      <c r="K692" t="str">
        <f t="shared" si="94"/>
        <v>96</v>
      </c>
      <c r="L692">
        <f t="shared" si="95"/>
        <v>3</v>
      </c>
      <c r="M692">
        <f t="shared" si="96"/>
        <v>80</v>
      </c>
      <c r="N692">
        <f t="shared" si="97"/>
        <v>150</v>
      </c>
      <c r="P692" t="str">
        <f t="shared" si="98"/>
        <v>.MediumElectricBlue-bg{background-color:#035096;}</v>
      </c>
    </row>
    <row r="693" spans="2:16" ht="15.75">
      <c r="B693" s="1" t="s">
        <v>1529</v>
      </c>
      <c r="C693" t="s">
        <v>1530</v>
      </c>
      <c r="D693">
        <v>2805</v>
      </c>
      <c r="E693">
        <v>5355</v>
      </c>
      <c r="F693">
        <v>2805</v>
      </c>
      <c r="G693" t="str">
        <f t="shared" si="90"/>
        <v>MediumJungleGreen</v>
      </c>
      <c r="H693" t="str">
        <f t="shared" si="91"/>
        <v>1C352D</v>
      </c>
      <c r="I693" t="str">
        <f t="shared" si="92"/>
        <v>1C</v>
      </c>
      <c r="J693" t="str">
        <f t="shared" si="93"/>
        <v>35</v>
      </c>
      <c r="K693" t="str">
        <f t="shared" si="94"/>
        <v>2D</v>
      </c>
      <c r="L693">
        <f t="shared" si="95"/>
        <v>28</v>
      </c>
      <c r="M693">
        <f t="shared" si="96"/>
        <v>53</v>
      </c>
      <c r="N693">
        <f t="shared" si="97"/>
        <v>45</v>
      </c>
      <c r="P693" t="str">
        <f t="shared" si="98"/>
        <v>.MediumJungleGreen-bg{background-color:#1C352D;}</v>
      </c>
    </row>
    <row r="694" spans="2:16" ht="15.75">
      <c r="B694" s="1" t="s">
        <v>1531</v>
      </c>
      <c r="C694" t="s">
        <v>1532</v>
      </c>
      <c r="D694">
        <v>22185</v>
      </c>
      <c r="E694">
        <v>16065</v>
      </c>
      <c r="F694">
        <v>22185</v>
      </c>
      <c r="G694" t="str">
        <f t="shared" si="90"/>
        <v>MediumLavenderMagenta</v>
      </c>
      <c r="H694" t="str">
        <f t="shared" si="91"/>
        <v>DDA0DD</v>
      </c>
      <c r="I694" t="str">
        <f t="shared" si="92"/>
        <v>DD</v>
      </c>
      <c r="J694" t="str">
        <f t="shared" si="93"/>
        <v>A0</v>
      </c>
      <c r="K694" t="str">
        <f t="shared" si="94"/>
        <v>DD</v>
      </c>
      <c r="L694">
        <f t="shared" si="95"/>
        <v>221</v>
      </c>
      <c r="M694">
        <f t="shared" si="96"/>
        <v>160</v>
      </c>
      <c r="N694">
        <f t="shared" si="97"/>
        <v>221</v>
      </c>
      <c r="P694" t="str">
        <f t="shared" si="98"/>
        <v>.MediumLavenderMagenta-bg{background-color:#DDA0DD;}</v>
      </c>
    </row>
    <row r="695" spans="2:16" ht="15.75">
      <c r="B695" s="1" t="s">
        <v>1533</v>
      </c>
      <c r="C695" t="s">
        <v>1534</v>
      </c>
      <c r="D695">
        <v>18615</v>
      </c>
      <c r="E695">
        <v>8415</v>
      </c>
      <c r="F695">
        <v>18615</v>
      </c>
      <c r="G695" t="str">
        <f t="shared" si="90"/>
        <v>MediumOrchid</v>
      </c>
      <c r="H695" t="str">
        <f t="shared" si="91"/>
        <v>BA55D3</v>
      </c>
      <c r="I695" t="str">
        <f t="shared" si="92"/>
        <v>BA</v>
      </c>
      <c r="J695" t="str">
        <f t="shared" si="93"/>
        <v>55</v>
      </c>
      <c r="K695" t="str">
        <f t="shared" si="94"/>
        <v>D3</v>
      </c>
      <c r="L695">
        <f t="shared" si="95"/>
        <v>186</v>
      </c>
      <c r="M695">
        <f t="shared" si="96"/>
        <v>85</v>
      </c>
      <c r="N695">
        <f t="shared" si="97"/>
        <v>211</v>
      </c>
      <c r="P695" t="str">
        <f t="shared" si="98"/>
        <v>.MediumOrchid-bg{background-color:#BA55D3;}</v>
      </c>
    </row>
    <row r="696" spans="2:16" ht="15.75">
      <c r="B696" s="1" t="s">
        <v>1535</v>
      </c>
      <c r="C696" t="s">
        <v>1536</v>
      </c>
      <c r="D696">
        <v>0</v>
      </c>
      <c r="E696">
        <v>10200</v>
      </c>
      <c r="F696">
        <v>0</v>
      </c>
      <c r="G696" t="str">
        <f t="shared" si="90"/>
        <v>MediumPersianBlue</v>
      </c>
      <c r="H696" t="str">
        <f t="shared" si="91"/>
        <v>0067A5</v>
      </c>
      <c r="I696" t="str">
        <f t="shared" si="92"/>
        <v>00</v>
      </c>
      <c r="J696" t="str">
        <f t="shared" si="93"/>
        <v>67</v>
      </c>
      <c r="K696" t="str">
        <f t="shared" si="94"/>
        <v>A5</v>
      </c>
      <c r="L696">
        <f t="shared" si="95"/>
        <v>0</v>
      </c>
      <c r="M696">
        <f t="shared" si="96"/>
        <v>103</v>
      </c>
      <c r="N696">
        <f t="shared" si="97"/>
        <v>165</v>
      </c>
      <c r="P696" t="str">
        <f t="shared" si="98"/>
        <v>.MediumPersianBlue-bg{background-color:#0067A5;}</v>
      </c>
    </row>
    <row r="697" spans="2:16" ht="15.75">
      <c r="B697" s="1" t="s">
        <v>1537</v>
      </c>
      <c r="C697" t="s">
        <v>1538</v>
      </c>
      <c r="D697">
        <v>14790</v>
      </c>
      <c r="E697">
        <v>11220</v>
      </c>
      <c r="F697">
        <v>14790</v>
      </c>
      <c r="G697" t="str">
        <f t="shared" si="90"/>
        <v>MediumPurple</v>
      </c>
      <c r="H697" t="str">
        <f t="shared" si="91"/>
        <v>9370DB</v>
      </c>
      <c r="I697" t="str">
        <f t="shared" si="92"/>
        <v>93</v>
      </c>
      <c r="J697" t="str">
        <f t="shared" si="93"/>
        <v>70</v>
      </c>
      <c r="K697" t="str">
        <f t="shared" si="94"/>
        <v>DB</v>
      </c>
      <c r="L697">
        <f t="shared" si="95"/>
        <v>147</v>
      </c>
      <c r="M697">
        <f t="shared" si="96"/>
        <v>112</v>
      </c>
      <c r="N697">
        <f t="shared" si="97"/>
        <v>219</v>
      </c>
      <c r="P697" t="str">
        <f t="shared" si="98"/>
        <v>.MediumPurple-bg{background-color:#9370DB;}</v>
      </c>
    </row>
    <row r="698" spans="2:16" ht="15.75">
      <c r="B698" s="1" t="s">
        <v>1539</v>
      </c>
      <c r="C698" t="s">
        <v>1540</v>
      </c>
      <c r="D698">
        <v>18615</v>
      </c>
      <c r="E698">
        <v>5100</v>
      </c>
      <c r="F698">
        <v>18615</v>
      </c>
      <c r="G698" t="str">
        <f t="shared" si="90"/>
        <v>MediumRedviolet</v>
      </c>
      <c r="H698" t="str">
        <f t="shared" si="91"/>
        <v>BB3385</v>
      </c>
      <c r="I698" t="str">
        <f t="shared" si="92"/>
        <v>BB</v>
      </c>
      <c r="J698" t="str">
        <f t="shared" si="93"/>
        <v>33</v>
      </c>
      <c r="K698" t="str">
        <f t="shared" si="94"/>
        <v>85</v>
      </c>
      <c r="L698">
        <f t="shared" si="95"/>
        <v>187</v>
      </c>
      <c r="M698">
        <f t="shared" si="96"/>
        <v>51</v>
      </c>
      <c r="N698">
        <f t="shared" si="97"/>
        <v>133</v>
      </c>
      <c r="P698" t="str">
        <f t="shared" si="98"/>
        <v>.MediumRedviolet-bg{background-color:#BB3385;}</v>
      </c>
    </row>
    <row r="699" spans="2:16" ht="15.75">
      <c r="B699" s="1" t="s">
        <v>1541</v>
      </c>
      <c r="C699" t="s">
        <v>1542</v>
      </c>
      <c r="D699">
        <v>17085</v>
      </c>
      <c r="E699">
        <v>6375</v>
      </c>
      <c r="F699">
        <v>17085</v>
      </c>
      <c r="G699" t="str">
        <f t="shared" si="90"/>
        <v>MediumRuby</v>
      </c>
      <c r="H699" t="str">
        <f t="shared" si="91"/>
        <v>AA4069</v>
      </c>
      <c r="I699" t="str">
        <f t="shared" si="92"/>
        <v>AA</v>
      </c>
      <c r="J699" t="str">
        <f t="shared" si="93"/>
        <v>40</v>
      </c>
      <c r="K699" t="str">
        <f t="shared" si="94"/>
        <v>69</v>
      </c>
      <c r="L699">
        <f t="shared" si="95"/>
        <v>170</v>
      </c>
      <c r="M699">
        <f t="shared" si="96"/>
        <v>64</v>
      </c>
      <c r="N699">
        <f t="shared" si="97"/>
        <v>105</v>
      </c>
      <c r="P699" t="str">
        <f t="shared" si="98"/>
        <v>.MediumRuby-bg{background-color:#AA4069;}</v>
      </c>
    </row>
    <row r="700" spans="2:16" ht="15.75">
      <c r="B700" s="1" t="s">
        <v>1543</v>
      </c>
      <c r="C700" t="s">
        <v>1544</v>
      </c>
      <c r="D700">
        <v>6120</v>
      </c>
      <c r="E700">
        <v>17850</v>
      </c>
      <c r="F700">
        <v>6120</v>
      </c>
      <c r="G700" t="str">
        <f t="shared" si="90"/>
        <v>MediumSeaGreen</v>
      </c>
      <c r="H700" t="str">
        <f t="shared" si="91"/>
        <v>3CB371</v>
      </c>
      <c r="I700" t="str">
        <f t="shared" si="92"/>
        <v>3C</v>
      </c>
      <c r="J700" t="str">
        <f t="shared" si="93"/>
        <v>B3</v>
      </c>
      <c r="K700" t="str">
        <f t="shared" si="94"/>
        <v>71</v>
      </c>
      <c r="L700">
        <f t="shared" si="95"/>
        <v>60</v>
      </c>
      <c r="M700">
        <f t="shared" si="96"/>
        <v>179</v>
      </c>
      <c r="N700">
        <f t="shared" si="97"/>
        <v>113</v>
      </c>
      <c r="P700" t="str">
        <f t="shared" si="98"/>
        <v>.MediumSeaGreen-bg{background-color:#3CB371;}</v>
      </c>
    </row>
    <row r="701" spans="2:16" ht="15.75">
      <c r="B701" s="1" t="s">
        <v>1545</v>
      </c>
      <c r="C701" t="s">
        <v>1546</v>
      </c>
      <c r="D701">
        <v>12750</v>
      </c>
      <c r="E701">
        <v>21675</v>
      </c>
      <c r="F701">
        <v>12750</v>
      </c>
      <c r="G701" t="str">
        <f t="shared" si="90"/>
        <v>MediumSkyBlue</v>
      </c>
      <c r="H701" t="str">
        <f t="shared" si="91"/>
        <v>80DAEB</v>
      </c>
      <c r="I701" t="str">
        <f t="shared" si="92"/>
        <v>80</v>
      </c>
      <c r="J701" t="str">
        <f t="shared" si="93"/>
        <v>DA</v>
      </c>
      <c r="K701" t="str">
        <f t="shared" si="94"/>
        <v>EB</v>
      </c>
      <c r="L701">
        <f t="shared" si="95"/>
        <v>128</v>
      </c>
      <c r="M701">
        <f t="shared" si="96"/>
        <v>218</v>
      </c>
      <c r="N701">
        <f t="shared" si="97"/>
        <v>235</v>
      </c>
      <c r="P701" t="str">
        <f t="shared" si="98"/>
        <v>.MediumSkyBlue-bg{background-color:#80DAEB;}</v>
      </c>
    </row>
    <row r="702" spans="2:16" ht="15.75">
      <c r="B702" s="1" t="s">
        <v>1547</v>
      </c>
      <c r="C702" t="s">
        <v>1548</v>
      </c>
      <c r="D702">
        <v>12240</v>
      </c>
      <c r="E702">
        <v>10455</v>
      </c>
      <c r="F702">
        <v>12240</v>
      </c>
      <c r="G702" t="str">
        <f t="shared" si="90"/>
        <v>MediumSlateBlue</v>
      </c>
      <c r="H702" t="str">
        <f t="shared" si="91"/>
        <v>7B68EE</v>
      </c>
      <c r="I702" t="str">
        <f t="shared" si="92"/>
        <v>7B</v>
      </c>
      <c r="J702" t="str">
        <f t="shared" si="93"/>
        <v>68</v>
      </c>
      <c r="K702" t="str">
        <f t="shared" si="94"/>
        <v>EE</v>
      </c>
      <c r="L702">
        <f t="shared" si="95"/>
        <v>123</v>
      </c>
      <c r="M702">
        <f t="shared" si="96"/>
        <v>104</v>
      </c>
      <c r="N702">
        <f t="shared" si="97"/>
        <v>238</v>
      </c>
      <c r="P702" t="str">
        <f t="shared" si="98"/>
        <v>.MediumSlateBlue-bg{background-color:#7B68EE;}</v>
      </c>
    </row>
    <row r="703" spans="2:16" ht="15.75">
      <c r="B703" s="1" t="s">
        <v>1549</v>
      </c>
      <c r="C703" t="s">
        <v>1550</v>
      </c>
      <c r="D703">
        <v>20145</v>
      </c>
      <c r="E703">
        <v>21930</v>
      </c>
      <c r="F703">
        <v>20145</v>
      </c>
      <c r="G703" t="str">
        <f t="shared" si="90"/>
        <v>MediumSpringBud</v>
      </c>
      <c r="H703" t="str">
        <f t="shared" si="91"/>
        <v>C9DC87</v>
      </c>
      <c r="I703" t="str">
        <f t="shared" si="92"/>
        <v>C9</v>
      </c>
      <c r="J703" t="str">
        <f t="shared" si="93"/>
        <v>DC</v>
      </c>
      <c r="K703" t="str">
        <f t="shared" si="94"/>
        <v>87</v>
      </c>
      <c r="L703">
        <f t="shared" si="95"/>
        <v>201</v>
      </c>
      <c r="M703">
        <f t="shared" si="96"/>
        <v>220</v>
      </c>
      <c r="N703">
        <f t="shared" si="97"/>
        <v>135</v>
      </c>
      <c r="P703" t="str">
        <f t="shared" si="98"/>
        <v>.MediumSpringBud-bg{background-color:#C9DC87;}</v>
      </c>
    </row>
    <row r="704" spans="2:16" ht="15.75">
      <c r="B704" s="1" t="s">
        <v>1551</v>
      </c>
      <c r="C704" t="s">
        <v>1552</v>
      </c>
      <c r="D704">
        <v>0</v>
      </c>
      <c r="E704">
        <v>24990</v>
      </c>
      <c r="F704">
        <v>0</v>
      </c>
      <c r="G704" t="str">
        <f t="shared" si="90"/>
        <v>MediumSpringGreen</v>
      </c>
      <c r="H704" t="str">
        <f t="shared" si="91"/>
        <v>00FA9A</v>
      </c>
      <c r="I704" t="str">
        <f t="shared" si="92"/>
        <v>00</v>
      </c>
      <c r="J704" t="str">
        <f t="shared" si="93"/>
        <v>FA</v>
      </c>
      <c r="K704" t="str">
        <f t="shared" si="94"/>
        <v>9A</v>
      </c>
      <c r="L704">
        <f t="shared" si="95"/>
        <v>0</v>
      </c>
      <c r="M704">
        <f t="shared" si="96"/>
        <v>250</v>
      </c>
      <c r="N704">
        <f t="shared" si="97"/>
        <v>154</v>
      </c>
      <c r="P704" t="str">
        <f t="shared" si="98"/>
        <v>.MediumSpringGreen-bg{background-color:#00FA9A;}</v>
      </c>
    </row>
    <row r="705" spans="2:16" ht="15.75">
      <c r="B705" s="1" t="s">
        <v>1553</v>
      </c>
      <c r="C705" t="s">
        <v>1445</v>
      </c>
      <c r="D705">
        <v>10200</v>
      </c>
      <c r="E705">
        <v>7650</v>
      </c>
      <c r="F705">
        <v>10200</v>
      </c>
      <c r="G705" t="str">
        <f t="shared" si="90"/>
        <v>MediumTaupe</v>
      </c>
      <c r="H705" t="str">
        <f t="shared" si="91"/>
        <v>674C47</v>
      </c>
      <c r="I705" t="str">
        <f t="shared" si="92"/>
        <v>67</v>
      </c>
      <c r="J705" t="str">
        <f t="shared" si="93"/>
        <v>4C</v>
      </c>
      <c r="K705" t="str">
        <f t="shared" si="94"/>
        <v>47</v>
      </c>
      <c r="L705">
        <f t="shared" si="95"/>
        <v>103</v>
      </c>
      <c r="M705">
        <f t="shared" si="96"/>
        <v>76</v>
      </c>
      <c r="N705">
        <f t="shared" si="97"/>
        <v>71</v>
      </c>
      <c r="P705" t="str">
        <f t="shared" si="98"/>
        <v>.MediumTaupe-bg{background-color:#674C47;}</v>
      </c>
    </row>
    <row r="706" spans="2:16" ht="15.75">
      <c r="B706" s="1" t="s">
        <v>1554</v>
      </c>
      <c r="C706" t="s">
        <v>1555</v>
      </c>
      <c r="D706">
        <v>7140</v>
      </c>
      <c r="E706">
        <v>20910</v>
      </c>
      <c r="F706">
        <v>7140</v>
      </c>
      <c r="G706" t="str">
        <f t="shared" si="90"/>
        <v>MediumTurquoise</v>
      </c>
      <c r="H706" t="str">
        <f t="shared" si="91"/>
        <v>48D1CC</v>
      </c>
      <c r="I706" t="str">
        <f t="shared" si="92"/>
        <v>48</v>
      </c>
      <c r="J706" t="str">
        <f t="shared" si="93"/>
        <v>D1</v>
      </c>
      <c r="K706" t="str">
        <f t="shared" si="94"/>
        <v>CC</v>
      </c>
      <c r="L706">
        <f t="shared" si="95"/>
        <v>72</v>
      </c>
      <c r="M706">
        <f t="shared" si="96"/>
        <v>209</v>
      </c>
      <c r="N706">
        <f t="shared" si="97"/>
        <v>204</v>
      </c>
      <c r="P706" t="str">
        <f t="shared" si="98"/>
        <v>.MediumTurquoise-bg{background-color:#48D1CC;}</v>
      </c>
    </row>
    <row r="707" spans="2:16" ht="15.75">
      <c r="B707" s="1" t="s">
        <v>1556</v>
      </c>
      <c r="C707" t="s">
        <v>422</v>
      </c>
      <c r="D707">
        <v>11985</v>
      </c>
      <c r="E707">
        <v>6885</v>
      </c>
      <c r="F707">
        <v>11985</v>
      </c>
      <c r="G707" t="str">
        <f t="shared" si="90"/>
        <v>MediumTuscanRed</v>
      </c>
      <c r="H707" t="str">
        <f t="shared" si="91"/>
        <v>79443B</v>
      </c>
      <c r="I707" t="str">
        <f t="shared" si="92"/>
        <v>79</v>
      </c>
      <c r="J707" t="str">
        <f t="shared" si="93"/>
        <v>44</v>
      </c>
      <c r="K707" t="str">
        <f t="shared" si="94"/>
        <v>3B</v>
      </c>
      <c r="L707">
        <f t="shared" si="95"/>
        <v>121</v>
      </c>
      <c r="M707">
        <f t="shared" si="96"/>
        <v>68</v>
      </c>
      <c r="N707">
        <f t="shared" si="97"/>
        <v>59</v>
      </c>
      <c r="P707" t="str">
        <f t="shared" si="98"/>
        <v>.MediumTuscanRed-bg{background-color:#79443B;}</v>
      </c>
    </row>
    <row r="708" spans="2:16" ht="15.75">
      <c r="B708" s="1" t="s">
        <v>1557</v>
      </c>
      <c r="C708" t="s">
        <v>1558</v>
      </c>
      <c r="D708">
        <v>21675</v>
      </c>
      <c r="E708">
        <v>9690</v>
      </c>
      <c r="F708">
        <v>21675</v>
      </c>
      <c r="G708" t="str">
        <f t="shared" ref="G708:G771" si="99">SUBSTITUTE(PROPER(AlphaNumericOnly(B708))," ","")</f>
        <v>MediumVermilion</v>
      </c>
      <c r="H708" t="str">
        <f t="shared" ref="H708:H771" si="100">RIGHT(C708,6)</f>
        <v>D9603B</v>
      </c>
      <c r="I708" t="str">
        <f t="shared" ref="I708:I771" si="101">MID($H708,1,2)</f>
        <v>D9</v>
      </c>
      <c r="J708" t="str">
        <f t="shared" ref="J708:J771" si="102">MID($H708,3,2)</f>
        <v>60</v>
      </c>
      <c r="K708" t="str">
        <f t="shared" ref="K708:K771" si="103">MID($H708,5,2)</f>
        <v>3B</v>
      </c>
      <c r="L708">
        <f t="shared" ref="L708:L771" si="104">HEX2DEC(I708)</f>
        <v>217</v>
      </c>
      <c r="M708">
        <f t="shared" ref="M708:M771" si="105">HEX2DEC(J708)</f>
        <v>96</v>
      </c>
      <c r="N708">
        <f t="shared" ref="N708:N771" si="106">HEX2DEC(K708)</f>
        <v>59</v>
      </c>
      <c r="P708" t="str">
        <f t="shared" ref="P708:P771" si="107">"."&amp;G708&amp;$P$1&amp;"{"&amp;$P$2&amp;":#"&amp;H708&amp;";}"</f>
        <v>.MediumVermilion-bg{background-color:#D9603B;}</v>
      </c>
    </row>
    <row r="709" spans="2:16" ht="15.75">
      <c r="B709" s="1" t="s">
        <v>1559</v>
      </c>
      <c r="C709" t="s">
        <v>1560</v>
      </c>
      <c r="D709">
        <v>19890</v>
      </c>
      <c r="E709">
        <v>2040</v>
      </c>
      <c r="F709">
        <v>19890</v>
      </c>
      <c r="G709" t="str">
        <f t="shared" si="99"/>
        <v>MediumVioletred</v>
      </c>
      <c r="H709" t="str">
        <f t="shared" si="100"/>
        <v>C71585</v>
      </c>
      <c r="I709" t="str">
        <f t="shared" si="101"/>
        <v>C7</v>
      </c>
      <c r="J709" t="str">
        <f t="shared" si="102"/>
        <v>15</v>
      </c>
      <c r="K709" t="str">
        <f t="shared" si="103"/>
        <v>85</v>
      </c>
      <c r="L709">
        <f t="shared" si="104"/>
        <v>199</v>
      </c>
      <c r="M709">
        <f t="shared" si="105"/>
        <v>21</v>
      </c>
      <c r="N709">
        <f t="shared" si="106"/>
        <v>133</v>
      </c>
      <c r="P709" t="str">
        <f t="shared" si="107"/>
        <v>.MediumVioletred-bg{background-color:#C71585;}</v>
      </c>
    </row>
    <row r="710" spans="2:16" ht="15.75">
      <c r="B710" s="1" t="s">
        <v>1561</v>
      </c>
      <c r="C710" t="s">
        <v>1562</v>
      </c>
      <c r="D710">
        <v>24735</v>
      </c>
      <c r="E710">
        <v>18360</v>
      </c>
      <c r="F710">
        <v>24735</v>
      </c>
      <c r="G710" t="str">
        <f t="shared" si="99"/>
        <v>MellowApricot</v>
      </c>
      <c r="H710" t="str">
        <f t="shared" si="100"/>
        <v>F8B878</v>
      </c>
      <c r="I710" t="str">
        <f t="shared" si="101"/>
        <v>F8</v>
      </c>
      <c r="J710" t="str">
        <f t="shared" si="102"/>
        <v>B8</v>
      </c>
      <c r="K710" t="str">
        <f t="shared" si="103"/>
        <v>78</v>
      </c>
      <c r="L710">
        <f t="shared" si="104"/>
        <v>248</v>
      </c>
      <c r="M710">
        <f t="shared" si="105"/>
        <v>184</v>
      </c>
      <c r="N710">
        <f t="shared" si="106"/>
        <v>120</v>
      </c>
      <c r="P710" t="str">
        <f t="shared" si="107"/>
        <v>.MellowApricot-bg{background-color:#F8B878;}</v>
      </c>
    </row>
    <row r="711" spans="2:16" ht="15.75">
      <c r="B711" s="1" t="s">
        <v>1563</v>
      </c>
      <c r="C711" t="s">
        <v>1269</v>
      </c>
      <c r="D711">
        <v>24735</v>
      </c>
      <c r="E711">
        <v>22185</v>
      </c>
      <c r="F711">
        <v>24735</v>
      </c>
      <c r="G711" t="str">
        <f t="shared" si="99"/>
        <v>MellowYellow</v>
      </c>
      <c r="H711" t="str">
        <f t="shared" si="100"/>
        <v>F8DE7E</v>
      </c>
      <c r="I711" t="str">
        <f t="shared" si="101"/>
        <v>F8</v>
      </c>
      <c r="J711" t="str">
        <f t="shared" si="102"/>
        <v>DE</v>
      </c>
      <c r="K711" t="str">
        <f t="shared" si="103"/>
        <v>7E</v>
      </c>
      <c r="L711">
        <f t="shared" si="104"/>
        <v>248</v>
      </c>
      <c r="M711">
        <f t="shared" si="105"/>
        <v>222</v>
      </c>
      <c r="N711">
        <f t="shared" si="106"/>
        <v>126</v>
      </c>
      <c r="P711" t="str">
        <f t="shared" si="107"/>
        <v>.MellowYellow-bg{background-color:#F8DE7E;}</v>
      </c>
    </row>
    <row r="712" spans="2:16" ht="15.75">
      <c r="B712" s="1" t="s">
        <v>1564</v>
      </c>
      <c r="C712" t="s">
        <v>1565</v>
      </c>
      <c r="D712">
        <v>25245</v>
      </c>
      <c r="E712">
        <v>18870</v>
      </c>
      <c r="F712">
        <v>25245</v>
      </c>
      <c r="G712" t="str">
        <f t="shared" si="99"/>
        <v>Melon</v>
      </c>
      <c r="H712" t="str">
        <f t="shared" si="100"/>
        <v>FDBCB4</v>
      </c>
      <c r="I712" t="str">
        <f t="shared" si="101"/>
        <v>FD</v>
      </c>
      <c r="J712" t="str">
        <f t="shared" si="102"/>
        <v>BC</v>
      </c>
      <c r="K712" t="str">
        <f t="shared" si="103"/>
        <v>B4</v>
      </c>
      <c r="L712">
        <f t="shared" si="104"/>
        <v>253</v>
      </c>
      <c r="M712">
        <f t="shared" si="105"/>
        <v>188</v>
      </c>
      <c r="N712">
        <f t="shared" si="106"/>
        <v>180</v>
      </c>
      <c r="P712" t="str">
        <f t="shared" si="107"/>
        <v>.Melon-bg{background-color:#FDBCB4;}</v>
      </c>
    </row>
    <row r="713" spans="2:16" ht="15.75">
      <c r="B713" s="1" t="s">
        <v>1566</v>
      </c>
      <c r="C713" t="s">
        <v>1567</v>
      </c>
      <c r="D713">
        <v>1020</v>
      </c>
      <c r="E713">
        <v>12495</v>
      </c>
      <c r="F713">
        <v>1020</v>
      </c>
      <c r="G713" t="str">
        <f t="shared" si="99"/>
        <v>MetallicSeaweed</v>
      </c>
      <c r="H713" t="str">
        <f t="shared" si="100"/>
        <v>0A7E8C</v>
      </c>
      <c r="I713" t="str">
        <f t="shared" si="101"/>
        <v>0A</v>
      </c>
      <c r="J713" t="str">
        <f t="shared" si="102"/>
        <v>7E</v>
      </c>
      <c r="K713" t="str">
        <f t="shared" si="103"/>
        <v>8C</v>
      </c>
      <c r="L713">
        <f t="shared" si="104"/>
        <v>10</v>
      </c>
      <c r="M713">
        <f t="shared" si="105"/>
        <v>126</v>
      </c>
      <c r="N713">
        <f t="shared" si="106"/>
        <v>140</v>
      </c>
      <c r="P713" t="str">
        <f t="shared" si="107"/>
        <v>.MetallicSeaweed-bg{background-color:#0A7E8C;}</v>
      </c>
    </row>
    <row r="714" spans="2:16" ht="15.75">
      <c r="B714" s="1" t="s">
        <v>1568</v>
      </c>
      <c r="C714" t="s">
        <v>1569</v>
      </c>
      <c r="D714">
        <v>15555</v>
      </c>
      <c r="E714">
        <v>12495</v>
      </c>
      <c r="F714">
        <v>15555</v>
      </c>
      <c r="G714" t="str">
        <f t="shared" si="99"/>
        <v>MetallicSunburst</v>
      </c>
      <c r="H714" t="str">
        <f t="shared" si="100"/>
        <v>9C7C38</v>
      </c>
      <c r="I714" t="str">
        <f t="shared" si="101"/>
        <v>9C</v>
      </c>
      <c r="J714" t="str">
        <f t="shared" si="102"/>
        <v>7C</v>
      </c>
      <c r="K714" t="str">
        <f t="shared" si="103"/>
        <v>38</v>
      </c>
      <c r="L714">
        <f t="shared" si="104"/>
        <v>156</v>
      </c>
      <c r="M714">
        <f t="shared" si="105"/>
        <v>124</v>
      </c>
      <c r="N714">
        <f t="shared" si="106"/>
        <v>56</v>
      </c>
      <c r="P714" t="str">
        <f t="shared" si="107"/>
        <v>.MetallicSunburst-bg{background-color:#9C7C38;}</v>
      </c>
    </row>
    <row r="715" spans="2:16" ht="15.75">
      <c r="B715" s="1" t="s">
        <v>1570</v>
      </c>
      <c r="C715" t="s">
        <v>1571</v>
      </c>
      <c r="D715">
        <v>22695</v>
      </c>
      <c r="E715">
        <v>0</v>
      </c>
      <c r="F715">
        <v>22695</v>
      </c>
      <c r="G715" t="str">
        <f t="shared" si="99"/>
        <v>MexicanPink</v>
      </c>
      <c r="H715" t="str">
        <f t="shared" si="100"/>
        <v>E4007C</v>
      </c>
      <c r="I715" t="str">
        <f t="shared" si="101"/>
        <v>E4</v>
      </c>
      <c r="J715" t="str">
        <f t="shared" si="102"/>
        <v>00</v>
      </c>
      <c r="K715" t="str">
        <f t="shared" si="103"/>
        <v>7C</v>
      </c>
      <c r="L715">
        <f t="shared" si="104"/>
        <v>228</v>
      </c>
      <c r="M715">
        <f t="shared" si="105"/>
        <v>0</v>
      </c>
      <c r="N715">
        <f t="shared" si="106"/>
        <v>124</v>
      </c>
      <c r="P715" t="str">
        <f t="shared" si="107"/>
        <v>.MexicanPink-bg{background-color:#E4007C;}</v>
      </c>
    </row>
    <row r="716" spans="2:16" ht="15.75">
      <c r="B716" s="1" t="s">
        <v>1572</v>
      </c>
      <c r="C716" t="s">
        <v>1573</v>
      </c>
      <c r="D716">
        <v>11220</v>
      </c>
      <c r="E716">
        <v>3825</v>
      </c>
      <c r="F716">
        <v>11220</v>
      </c>
      <c r="G716" t="str">
        <f t="shared" si="99"/>
        <v>Midnight</v>
      </c>
      <c r="H716" t="str">
        <f t="shared" si="100"/>
        <v>702670</v>
      </c>
      <c r="I716" t="str">
        <f t="shared" si="101"/>
        <v>70</v>
      </c>
      <c r="J716" t="str">
        <f t="shared" si="102"/>
        <v>26</v>
      </c>
      <c r="K716" t="str">
        <f t="shared" si="103"/>
        <v>70</v>
      </c>
      <c r="L716">
        <f t="shared" si="104"/>
        <v>112</v>
      </c>
      <c r="M716">
        <f t="shared" si="105"/>
        <v>38</v>
      </c>
      <c r="N716">
        <f t="shared" si="106"/>
        <v>112</v>
      </c>
      <c r="P716" t="str">
        <f t="shared" si="107"/>
        <v>.Midnight-bg{background-color:#702670;}</v>
      </c>
    </row>
    <row r="717" spans="2:16" ht="15.75">
      <c r="B717" s="1" t="s">
        <v>1574</v>
      </c>
      <c r="C717" t="s">
        <v>1575</v>
      </c>
      <c r="D717">
        <v>2550</v>
      </c>
      <c r="E717">
        <v>2550</v>
      </c>
      <c r="F717">
        <v>2550</v>
      </c>
      <c r="G717" t="str">
        <f t="shared" si="99"/>
        <v>MidnightBlue</v>
      </c>
      <c r="H717" t="str">
        <f t="shared" si="100"/>
        <v>191970</v>
      </c>
      <c r="I717" t="str">
        <f t="shared" si="101"/>
        <v>19</v>
      </c>
      <c r="J717" t="str">
        <f t="shared" si="102"/>
        <v>19</v>
      </c>
      <c r="K717" t="str">
        <f t="shared" si="103"/>
        <v>70</v>
      </c>
      <c r="L717">
        <f t="shared" si="104"/>
        <v>25</v>
      </c>
      <c r="M717">
        <f t="shared" si="105"/>
        <v>25</v>
      </c>
      <c r="N717">
        <f t="shared" si="106"/>
        <v>112</v>
      </c>
      <c r="P717" t="str">
        <f t="shared" si="107"/>
        <v>.MidnightBlue-bg{background-color:#191970;}</v>
      </c>
    </row>
    <row r="718" spans="2:16" ht="15.75">
      <c r="B718" s="1" t="s">
        <v>1576</v>
      </c>
      <c r="C718" t="s">
        <v>1577</v>
      </c>
      <c r="D718">
        <v>0</v>
      </c>
      <c r="E718">
        <v>7395</v>
      </c>
      <c r="F718">
        <v>0</v>
      </c>
      <c r="G718" t="str">
        <f t="shared" si="99"/>
        <v>MidnightGreenEagleGreen</v>
      </c>
      <c r="H718" t="str">
        <f t="shared" si="100"/>
        <v>004953</v>
      </c>
      <c r="I718" t="str">
        <f t="shared" si="101"/>
        <v>00</v>
      </c>
      <c r="J718" t="str">
        <f t="shared" si="102"/>
        <v>49</v>
      </c>
      <c r="K718" t="str">
        <f t="shared" si="103"/>
        <v>53</v>
      </c>
      <c r="L718">
        <f t="shared" si="104"/>
        <v>0</v>
      </c>
      <c r="M718">
        <f t="shared" si="105"/>
        <v>73</v>
      </c>
      <c r="N718">
        <f t="shared" si="106"/>
        <v>83</v>
      </c>
      <c r="P718" t="str">
        <f t="shared" si="107"/>
        <v>.MidnightGreenEagleGreen-bg{background-color:#004953;}</v>
      </c>
    </row>
    <row r="719" spans="2:16" ht="15.75">
      <c r="B719" s="1" t="s">
        <v>1578</v>
      </c>
      <c r="C719" t="s">
        <v>1579</v>
      </c>
      <c r="D719">
        <v>25500</v>
      </c>
      <c r="E719">
        <v>19635</v>
      </c>
      <c r="F719">
        <v>25500</v>
      </c>
      <c r="G719" t="str">
        <f t="shared" si="99"/>
        <v>MikadoYellow</v>
      </c>
      <c r="H719" t="str">
        <f t="shared" si="100"/>
        <v>FFC40C</v>
      </c>
      <c r="I719" t="str">
        <f t="shared" si="101"/>
        <v>FF</v>
      </c>
      <c r="J719" t="str">
        <f t="shared" si="102"/>
        <v>C4</v>
      </c>
      <c r="K719" t="str">
        <f t="shared" si="103"/>
        <v>0C</v>
      </c>
      <c r="L719">
        <f t="shared" si="104"/>
        <v>255</v>
      </c>
      <c r="M719">
        <f t="shared" si="105"/>
        <v>196</v>
      </c>
      <c r="N719">
        <f t="shared" si="106"/>
        <v>12</v>
      </c>
      <c r="P719" t="str">
        <f t="shared" si="107"/>
        <v>.MikadoYellow-bg{background-color:#FFC40C;}</v>
      </c>
    </row>
    <row r="720" spans="2:16" ht="15.75">
      <c r="B720" s="1" t="s">
        <v>1580</v>
      </c>
      <c r="C720" t="s">
        <v>1581</v>
      </c>
      <c r="D720">
        <v>22695</v>
      </c>
      <c r="E720">
        <v>24990</v>
      </c>
      <c r="F720">
        <v>22695</v>
      </c>
      <c r="G720" t="str">
        <f t="shared" si="99"/>
        <v>Mindaro</v>
      </c>
      <c r="H720" t="str">
        <f t="shared" si="100"/>
        <v>E3F988</v>
      </c>
      <c r="I720" t="str">
        <f t="shared" si="101"/>
        <v>E3</v>
      </c>
      <c r="J720" t="str">
        <f t="shared" si="102"/>
        <v>F9</v>
      </c>
      <c r="K720" t="str">
        <f t="shared" si="103"/>
        <v>88</v>
      </c>
      <c r="L720">
        <f t="shared" si="104"/>
        <v>227</v>
      </c>
      <c r="M720">
        <f t="shared" si="105"/>
        <v>249</v>
      </c>
      <c r="N720">
        <f t="shared" si="106"/>
        <v>136</v>
      </c>
      <c r="P720" t="str">
        <f t="shared" si="107"/>
        <v>.Mindaro-bg{background-color:#E3F988;}</v>
      </c>
    </row>
    <row r="721" spans="2:16" ht="15.75">
      <c r="B721" s="1" t="s">
        <v>1582</v>
      </c>
      <c r="C721" t="s">
        <v>1583</v>
      </c>
      <c r="D721">
        <v>5355</v>
      </c>
      <c r="E721">
        <v>11475</v>
      </c>
      <c r="F721">
        <v>5355</v>
      </c>
      <c r="G721" t="str">
        <f t="shared" si="99"/>
        <v>Ming</v>
      </c>
      <c r="H721" t="str">
        <f t="shared" si="100"/>
        <v>36747D</v>
      </c>
      <c r="I721" t="str">
        <f t="shared" si="101"/>
        <v>36</v>
      </c>
      <c r="J721" t="str">
        <f t="shared" si="102"/>
        <v>74</v>
      </c>
      <c r="K721" t="str">
        <f t="shared" si="103"/>
        <v>7D</v>
      </c>
      <c r="L721">
        <f t="shared" si="104"/>
        <v>54</v>
      </c>
      <c r="M721">
        <f t="shared" si="105"/>
        <v>116</v>
      </c>
      <c r="N721">
        <f t="shared" si="106"/>
        <v>125</v>
      </c>
      <c r="P721" t="str">
        <f t="shared" si="107"/>
        <v>.Ming-bg{background-color:#36747D;}</v>
      </c>
    </row>
    <row r="722" spans="2:16" ht="15.75">
      <c r="B722" s="1" t="s">
        <v>1584</v>
      </c>
      <c r="C722" t="s">
        <v>1585</v>
      </c>
      <c r="D722">
        <v>24480</v>
      </c>
      <c r="E722">
        <v>21930</v>
      </c>
      <c r="F722">
        <v>24480</v>
      </c>
      <c r="G722" t="str">
        <f t="shared" si="99"/>
        <v>MinionYellow</v>
      </c>
      <c r="H722" t="str">
        <f t="shared" si="100"/>
        <v>F5E050</v>
      </c>
      <c r="I722" t="str">
        <f t="shared" si="101"/>
        <v>F5</v>
      </c>
      <c r="J722" t="str">
        <f t="shared" si="102"/>
        <v>E0</v>
      </c>
      <c r="K722" t="str">
        <f t="shared" si="103"/>
        <v>50</v>
      </c>
      <c r="L722">
        <f t="shared" si="104"/>
        <v>245</v>
      </c>
      <c r="M722">
        <f t="shared" si="105"/>
        <v>224</v>
      </c>
      <c r="N722">
        <f t="shared" si="106"/>
        <v>80</v>
      </c>
      <c r="P722" t="str">
        <f t="shared" si="107"/>
        <v>.MinionYellow-bg{background-color:#F5E050;}</v>
      </c>
    </row>
    <row r="723" spans="2:16" ht="15.75">
      <c r="B723" s="1" t="s">
        <v>1586</v>
      </c>
      <c r="C723" t="s">
        <v>1587</v>
      </c>
      <c r="D723">
        <v>6120</v>
      </c>
      <c r="E723">
        <v>18105</v>
      </c>
      <c r="F723">
        <v>6120</v>
      </c>
      <c r="G723" t="str">
        <f t="shared" si="99"/>
        <v>Mint</v>
      </c>
      <c r="H723" t="str">
        <f t="shared" si="100"/>
        <v>3EB489</v>
      </c>
      <c r="I723" t="str">
        <f t="shared" si="101"/>
        <v>3E</v>
      </c>
      <c r="J723" t="str">
        <f t="shared" si="102"/>
        <v>B4</v>
      </c>
      <c r="K723" t="str">
        <f t="shared" si="103"/>
        <v>89</v>
      </c>
      <c r="L723">
        <f t="shared" si="104"/>
        <v>62</v>
      </c>
      <c r="M723">
        <f t="shared" si="105"/>
        <v>180</v>
      </c>
      <c r="N723">
        <f t="shared" si="106"/>
        <v>137</v>
      </c>
      <c r="P723" t="str">
        <f t="shared" si="107"/>
        <v>.Mint-bg{background-color:#3EB489;}</v>
      </c>
    </row>
    <row r="724" spans="2:16" ht="15.75">
      <c r="B724" s="1" t="s">
        <v>1588</v>
      </c>
      <c r="C724" t="s">
        <v>1589</v>
      </c>
      <c r="D724">
        <v>24480</v>
      </c>
      <c r="E724">
        <v>25500</v>
      </c>
      <c r="F724">
        <v>24480</v>
      </c>
      <c r="G724" t="str">
        <f t="shared" si="99"/>
        <v>MintCream</v>
      </c>
      <c r="H724" t="str">
        <f t="shared" si="100"/>
        <v>F5FFFA</v>
      </c>
      <c r="I724" t="str">
        <f t="shared" si="101"/>
        <v>F5</v>
      </c>
      <c r="J724" t="str">
        <f t="shared" si="102"/>
        <v>FF</v>
      </c>
      <c r="K724" t="str">
        <f t="shared" si="103"/>
        <v>FA</v>
      </c>
      <c r="L724">
        <f t="shared" si="104"/>
        <v>245</v>
      </c>
      <c r="M724">
        <f t="shared" si="105"/>
        <v>255</v>
      </c>
      <c r="N724">
        <f t="shared" si="106"/>
        <v>250</v>
      </c>
      <c r="P724" t="str">
        <f t="shared" si="107"/>
        <v>.MintCream-bg{background-color:#F5FFFA;}</v>
      </c>
    </row>
    <row r="725" spans="2:16" ht="15.75">
      <c r="B725" s="1" t="s">
        <v>1590</v>
      </c>
      <c r="C725" t="s">
        <v>1591</v>
      </c>
      <c r="D725">
        <v>15300</v>
      </c>
      <c r="E725">
        <v>25500</v>
      </c>
      <c r="F725">
        <v>15300</v>
      </c>
      <c r="G725" t="str">
        <f t="shared" si="99"/>
        <v>MintGreen</v>
      </c>
      <c r="H725" t="str">
        <f t="shared" si="100"/>
        <v>98FF98</v>
      </c>
      <c r="I725" t="str">
        <f t="shared" si="101"/>
        <v>98</v>
      </c>
      <c r="J725" t="str">
        <f t="shared" si="102"/>
        <v>FF</v>
      </c>
      <c r="K725" t="str">
        <f t="shared" si="103"/>
        <v>98</v>
      </c>
      <c r="L725">
        <f t="shared" si="104"/>
        <v>152</v>
      </c>
      <c r="M725">
        <f t="shared" si="105"/>
        <v>255</v>
      </c>
      <c r="N725">
        <f t="shared" si="106"/>
        <v>152</v>
      </c>
      <c r="P725" t="str">
        <f t="shared" si="107"/>
        <v>.MintGreen-bg{background-color:#98FF98;}</v>
      </c>
    </row>
    <row r="726" spans="2:16" ht="15.75">
      <c r="B726" s="1" t="s">
        <v>1592</v>
      </c>
      <c r="C726" t="s">
        <v>1593</v>
      </c>
      <c r="D726">
        <v>18615</v>
      </c>
      <c r="E726">
        <v>18105</v>
      </c>
      <c r="F726">
        <v>18615</v>
      </c>
      <c r="G726" t="str">
        <f t="shared" si="99"/>
        <v>MistyMoss</v>
      </c>
      <c r="H726" t="str">
        <f t="shared" si="100"/>
        <v>BBB477</v>
      </c>
      <c r="I726" t="str">
        <f t="shared" si="101"/>
        <v>BB</v>
      </c>
      <c r="J726" t="str">
        <f t="shared" si="102"/>
        <v>B4</v>
      </c>
      <c r="K726" t="str">
        <f t="shared" si="103"/>
        <v>77</v>
      </c>
      <c r="L726">
        <f t="shared" si="104"/>
        <v>187</v>
      </c>
      <c r="M726">
        <f t="shared" si="105"/>
        <v>180</v>
      </c>
      <c r="N726">
        <f t="shared" si="106"/>
        <v>119</v>
      </c>
      <c r="P726" t="str">
        <f t="shared" si="107"/>
        <v>.MistyMoss-bg{background-color:#BBB477;}</v>
      </c>
    </row>
    <row r="727" spans="2:16" ht="15.75">
      <c r="B727" s="1" t="s">
        <v>1594</v>
      </c>
      <c r="C727" t="s">
        <v>1595</v>
      </c>
      <c r="D727">
        <v>25500</v>
      </c>
      <c r="E727">
        <v>22695</v>
      </c>
      <c r="F727">
        <v>25500</v>
      </c>
      <c r="G727" t="str">
        <f t="shared" si="99"/>
        <v>MistyRose</v>
      </c>
      <c r="H727" t="str">
        <f t="shared" si="100"/>
        <v>FFE4E1</v>
      </c>
      <c r="I727" t="str">
        <f t="shared" si="101"/>
        <v>FF</v>
      </c>
      <c r="J727" t="str">
        <f t="shared" si="102"/>
        <v>E4</v>
      </c>
      <c r="K727" t="str">
        <f t="shared" si="103"/>
        <v>E1</v>
      </c>
      <c r="L727">
        <f t="shared" si="104"/>
        <v>255</v>
      </c>
      <c r="M727">
        <f t="shared" si="105"/>
        <v>228</v>
      </c>
      <c r="N727">
        <f t="shared" si="106"/>
        <v>225</v>
      </c>
      <c r="P727" t="str">
        <f t="shared" si="107"/>
        <v>.MistyRose-bg{background-color:#FFE4E1;}</v>
      </c>
    </row>
    <row r="728" spans="2:16" ht="15.75">
      <c r="B728" s="1" t="s">
        <v>1596</v>
      </c>
      <c r="C728" t="s">
        <v>264</v>
      </c>
      <c r="D728">
        <v>24990</v>
      </c>
      <c r="E728">
        <v>23460</v>
      </c>
      <c r="F728">
        <v>24990</v>
      </c>
      <c r="G728" t="str">
        <f t="shared" si="99"/>
        <v>Moccasin</v>
      </c>
      <c r="H728" t="str">
        <f t="shared" si="100"/>
        <v>FAEBD7</v>
      </c>
      <c r="I728" t="str">
        <f t="shared" si="101"/>
        <v>FA</v>
      </c>
      <c r="J728" t="str">
        <f t="shared" si="102"/>
        <v>EB</v>
      </c>
      <c r="K728" t="str">
        <f t="shared" si="103"/>
        <v>D7</v>
      </c>
      <c r="L728">
        <f t="shared" si="104"/>
        <v>250</v>
      </c>
      <c r="M728">
        <f t="shared" si="105"/>
        <v>235</v>
      </c>
      <c r="N728">
        <f t="shared" si="106"/>
        <v>215</v>
      </c>
      <c r="P728" t="str">
        <f t="shared" si="107"/>
        <v>.Moccasin-bg{background-color:#FAEBD7;}</v>
      </c>
    </row>
    <row r="729" spans="2:16" ht="15.75">
      <c r="B729" s="1" t="s">
        <v>1597</v>
      </c>
      <c r="C729" t="s">
        <v>353</v>
      </c>
      <c r="D729">
        <v>15045</v>
      </c>
      <c r="E729">
        <v>11220</v>
      </c>
      <c r="F729">
        <v>15045</v>
      </c>
      <c r="G729" t="str">
        <f t="shared" si="99"/>
        <v>ModeBeige</v>
      </c>
      <c r="H729" t="str">
        <f t="shared" si="100"/>
        <v>967117</v>
      </c>
      <c r="I729" t="str">
        <f t="shared" si="101"/>
        <v>96</v>
      </c>
      <c r="J729" t="str">
        <f t="shared" si="102"/>
        <v>71</v>
      </c>
      <c r="K729" t="str">
        <f t="shared" si="103"/>
        <v>17</v>
      </c>
      <c r="L729">
        <f t="shared" si="104"/>
        <v>150</v>
      </c>
      <c r="M729">
        <f t="shared" si="105"/>
        <v>113</v>
      </c>
      <c r="N729">
        <f t="shared" si="106"/>
        <v>23</v>
      </c>
      <c r="P729" t="str">
        <f t="shared" si="107"/>
        <v>.ModeBeige-bg{background-color:#967117;}</v>
      </c>
    </row>
    <row r="730" spans="2:16" ht="15.75">
      <c r="B730" s="1" t="s">
        <v>1598</v>
      </c>
      <c r="C730" t="s">
        <v>1599</v>
      </c>
      <c r="D730">
        <v>11475</v>
      </c>
      <c r="E730">
        <v>16830</v>
      </c>
      <c r="F730">
        <v>11475</v>
      </c>
      <c r="G730" t="str">
        <f t="shared" si="99"/>
        <v>MoonstoneBlue</v>
      </c>
      <c r="H730" t="str">
        <f t="shared" si="100"/>
        <v>73A9C2</v>
      </c>
      <c r="I730" t="str">
        <f t="shared" si="101"/>
        <v>73</v>
      </c>
      <c r="J730" t="str">
        <f t="shared" si="102"/>
        <v>A9</v>
      </c>
      <c r="K730" t="str">
        <f t="shared" si="103"/>
        <v>C2</v>
      </c>
      <c r="L730">
        <f t="shared" si="104"/>
        <v>115</v>
      </c>
      <c r="M730">
        <f t="shared" si="105"/>
        <v>169</v>
      </c>
      <c r="N730">
        <f t="shared" si="106"/>
        <v>194</v>
      </c>
      <c r="P730" t="str">
        <f t="shared" si="107"/>
        <v>.MoonstoneBlue-bg{background-color:#73A9C2;}</v>
      </c>
    </row>
    <row r="731" spans="2:16" ht="15.75">
      <c r="B731" s="1" t="s">
        <v>1600</v>
      </c>
      <c r="C731" t="s">
        <v>1601</v>
      </c>
      <c r="D731">
        <v>17340</v>
      </c>
      <c r="E731">
        <v>1275</v>
      </c>
      <c r="F731">
        <v>17340</v>
      </c>
      <c r="G731" t="str">
        <f t="shared" si="99"/>
        <v>MordantRed19</v>
      </c>
      <c r="H731" t="str">
        <f t="shared" si="100"/>
        <v>AE0C00</v>
      </c>
      <c r="I731" t="str">
        <f t="shared" si="101"/>
        <v>AE</v>
      </c>
      <c r="J731" t="str">
        <f t="shared" si="102"/>
        <v>0C</v>
      </c>
      <c r="K731" t="str">
        <f t="shared" si="103"/>
        <v>00</v>
      </c>
      <c r="L731">
        <f t="shared" si="104"/>
        <v>174</v>
      </c>
      <c r="M731">
        <f t="shared" si="105"/>
        <v>12</v>
      </c>
      <c r="N731">
        <f t="shared" si="106"/>
        <v>0</v>
      </c>
      <c r="P731" t="str">
        <f t="shared" si="107"/>
        <v>.MordantRed19-bg{background-color:#AE0C00;}</v>
      </c>
    </row>
    <row r="732" spans="2:16" ht="15.75">
      <c r="B732" s="1" t="s">
        <v>1602</v>
      </c>
      <c r="C732" t="s">
        <v>1603</v>
      </c>
      <c r="D732">
        <v>13770</v>
      </c>
      <c r="E732">
        <v>15300</v>
      </c>
      <c r="F732">
        <v>13770</v>
      </c>
      <c r="G732" t="str">
        <f t="shared" si="99"/>
        <v>MossGreen</v>
      </c>
      <c r="H732" t="str">
        <f t="shared" si="100"/>
        <v>8A9A5B</v>
      </c>
      <c r="I732" t="str">
        <f t="shared" si="101"/>
        <v>8A</v>
      </c>
      <c r="J732" t="str">
        <f t="shared" si="102"/>
        <v>9A</v>
      </c>
      <c r="K732" t="str">
        <f t="shared" si="103"/>
        <v>5B</v>
      </c>
      <c r="L732">
        <f t="shared" si="104"/>
        <v>138</v>
      </c>
      <c r="M732">
        <f t="shared" si="105"/>
        <v>154</v>
      </c>
      <c r="N732">
        <f t="shared" si="106"/>
        <v>91</v>
      </c>
      <c r="P732" t="str">
        <f t="shared" si="107"/>
        <v>.MossGreen-bg{background-color:#8A9A5B;}</v>
      </c>
    </row>
    <row r="733" spans="2:16" ht="15.75">
      <c r="B733" s="1" t="s">
        <v>1604</v>
      </c>
      <c r="C733" t="s">
        <v>1605</v>
      </c>
      <c r="D733">
        <v>4845</v>
      </c>
      <c r="E733">
        <v>18615</v>
      </c>
      <c r="F733">
        <v>4845</v>
      </c>
      <c r="G733" t="str">
        <f t="shared" si="99"/>
        <v>MountainMeadow</v>
      </c>
      <c r="H733" t="str">
        <f t="shared" si="100"/>
        <v>30BA8F</v>
      </c>
      <c r="I733" t="str">
        <f t="shared" si="101"/>
        <v>30</v>
      </c>
      <c r="J733" t="str">
        <f t="shared" si="102"/>
        <v>BA</v>
      </c>
      <c r="K733" t="str">
        <f t="shared" si="103"/>
        <v>8F</v>
      </c>
      <c r="L733">
        <f t="shared" si="104"/>
        <v>48</v>
      </c>
      <c r="M733">
        <f t="shared" si="105"/>
        <v>186</v>
      </c>
      <c r="N733">
        <f t="shared" si="106"/>
        <v>143</v>
      </c>
      <c r="P733" t="str">
        <f t="shared" si="107"/>
        <v>.MountainMeadow-bg{background-color:#30BA8F;}</v>
      </c>
    </row>
    <row r="734" spans="2:16" ht="15.75">
      <c r="B734" s="1" t="s">
        <v>1606</v>
      </c>
      <c r="C734" t="s">
        <v>1607</v>
      </c>
      <c r="D734">
        <v>15300</v>
      </c>
      <c r="E734">
        <v>12240</v>
      </c>
      <c r="F734">
        <v>15300</v>
      </c>
      <c r="G734" t="str">
        <f t="shared" si="99"/>
        <v>MountbattenPink</v>
      </c>
      <c r="H734" t="str">
        <f t="shared" si="100"/>
        <v>997A8D</v>
      </c>
      <c r="I734" t="str">
        <f t="shared" si="101"/>
        <v>99</v>
      </c>
      <c r="J734" t="str">
        <f t="shared" si="102"/>
        <v>7A</v>
      </c>
      <c r="K734" t="str">
        <f t="shared" si="103"/>
        <v>8D</v>
      </c>
      <c r="L734">
        <f t="shared" si="104"/>
        <v>153</v>
      </c>
      <c r="M734">
        <f t="shared" si="105"/>
        <v>122</v>
      </c>
      <c r="N734">
        <f t="shared" si="106"/>
        <v>141</v>
      </c>
      <c r="P734" t="str">
        <f t="shared" si="107"/>
        <v>.MountbattenPink-bg{background-color:#997A8D;}</v>
      </c>
    </row>
    <row r="735" spans="2:16" ht="15.75">
      <c r="B735" s="1" t="s">
        <v>1608</v>
      </c>
      <c r="C735" t="s">
        <v>1609</v>
      </c>
      <c r="D735">
        <v>2295</v>
      </c>
      <c r="E735">
        <v>6885</v>
      </c>
      <c r="F735">
        <v>2295</v>
      </c>
      <c r="G735" t="str">
        <f t="shared" si="99"/>
        <v>MsuGreen</v>
      </c>
      <c r="H735" t="str">
        <f t="shared" si="100"/>
        <v>18453B</v>
      </c>
      <c r="I735" t="str">
        <f t="shared" si="101"/>
        <v>18</v>
      </c>
      <c r="J735" t="str">
        <f t="shared" si="102"/>
        <v>45</v>
      </c>
      <c r="K735" t="str">
        <f t="shared" si="103"/>
        <v>3B</v>
      </c>
      <c r="L735">
        <f t="shared" si="104"/>
        <v>24</v>
      </c>
      <c r="M735">
        <f t="shared" si="105"/>
        <v>69</v>
      </c>
      <c r="N735">
        <f t="shared" si="106"/>
        <v>59</v>
      </c>
      <c r="P735" t="str">
        <f t="shared" si="107"/>
        <v>.MsuGreen-bg{background-color:#18453B;}</v>
      </c>
    </row>
    <row r="736" spans="2:16" ht="15.75">
      <c r="B736" s="1" t="s">
        <v>1610</v>
      </c>
      <c r="C736" t="s">
        <v>1611</v>
      </c>
      <c r="D736">
        <v>4845</v>
      </c>
      <c r="E736">
        <v>9690</v>
      </c>
      <c r="F736">
        <v>4845</v>
      </c>
      <c r="G736" t="str">
        <f t="shared" si="99"/>
        <v>MughalGreen</v>
      </c>
      <c r="H736" t="str">
        <f t="shared" si="100"/>
        <v>306030</v>
      </c>
      <c r="I736" t="str">
        <f t="shared" si="101"/>
        <v>30</v>
      </c>
      <c r="J736" t="str">
        <f t="shared" si="102"/>
        <v>60</v>
      </c>
      <c r="K736" t="str">
        <f t="shared" si="103"/>
        <v>30</v>
      </c>
      <c r="L736">
        <f t="shared" si="104"/>
        <v>48</v>
      </c>
      <c r="M736">
        <f t="shared" si="105"/>
        <v>96</v>
      </c>
      <c r="N736">
        <f t="shared" si="106"/>
        <v>48</v>
      </c>
      <c r="P736" t="str">
        <f t="shared" si="107"/>
        <v>.MughalGreen-bg{background-color:#306030;}</v>
      </c>
    </row>
    <row r="737" spans="2:16" ht="15.75">
      <c r="B737" s="1" t="s">
        <v>1612</v>
      </c>
      <c r="C737" t="s">
        <v>1613</v>
      </c>
      <c r="D737">
        <v>19635</v>
      </c>
      <c r="E737">
        <v>7395</v>
      </c>
      <c r="F737">
        <v>19635</v>
      </c>
      <c r="G737" t="str">
        <f t="shared" si="99"/>
        <v>Mulberry</v>
      </c>
      <c r="H737" t="str">
        <f t="shared" si="100"/>
        <v>C54B8C</v>
      </c>
      <c r="I737" t="str">
        <f t="shared" si="101"/>
        <v>C5</v>
      </c>
      <c r="J737" t="str">
        <f t="shared" si="102"/>
        <v>4B</v>
      </c>
      <c r="K737" t="str">
        <f t="shared" si="103"/>
        <v>8C</v>
      </c>
      <c r="L737">
        <f t="shared" si="104"/>
        <v>197</v>
      </c>
      <c r="M737">
        <f t="shared" si="105"/>
        <v>75</v>
      </c>
      <c r="N737">
        <f t="shared" si="106"/>
        <v>140</v>
      </c>
      <c r="P737" t="str">
        <f t="shared" si="107"/>
        <v>.Mulberry-bg{background-color:#C54B8C;}</v>
      </c>
    </row>
    <row r="738" spans="2:16" ht="15.75">
      <c r="B738" s="1" t="s">
        <v>1614</v>
      </c>
      <c r="C738" t="s">
        <v>1615</v>
      </c>
      <c r="D738">
        <v>13005</v>
      </c>
      <c r="E738">
        <v>14280</v>
      </c>
      <c r="F738">
        <v>13005</v>
      </c>
      <c r="G738" t="str">
        <f t="shared" si="99"/>
        <v>MummysTomb</v>
      </c>
      <c r="H738" t="str">
        <f t="shared" si="100"/>
        <v>828E84</v>
      </c>
      <c r="I738" t="str">
        <f t="shared" si="101"/>
        <v>82</v>
      </c>
      <c r="J738" t="str">
        <f t="shared" si="102"/>
        <v>8E</v>
      </c>
      <c r="K738" t="str">
        <f t="shared" si="103"/>
        <v>84</v>
      </c>
      <c r="L738">
        <f t="shared" si="104"/>
        <v>130</v>
      </c>
      <c r="M738">
        <f t="shared" si="105"/>
        <v>142</v>
      </c>
      <c r="N738">
        <f t="shared" si="106"/>
        <v>132</v>
      </c>
      <c r="P738" t="str">
        <f t="shared" si="107"/>
        <v>.MummysTomb-bg{background-color:#828E84;}</v>
      </c>
    </row>
    <row r="739" spans="2:16" ht="15.75">
      <c r="B739" s="1" t="s">
        <v>1616</v>
      </c>
      <c r="C739" t="s">
        <v>1617</v>
      </c>
      <c r="D739">
        <v>25500</v>
      </c>
      <c r="E739">
        <v>21930</v>
      </c>
      <c r="F739">
        <v>25500</v>
      </c>
      <c r="G739" t="str">
        <f t="shared" si="99"/>
        <v>Mustard</v>
      </c>
      <c r="H739" t="str">
        <f t="shared" si="100"/>
        <v>FFDB58</v>
      </c>
      <c r="I739" t="str">
        <f t="shared" si="101"/>
        <v>FF</v>
      </c>
      <c r="J739" t="str">
        <f t="shared" si="102"/>
        <v>DB</v>
      </c>
      <c r="K739" t="str">
        <f t="shared" si="103"/>
        <v>58</v>
      </c>
      <c r="L739">
        <f t="shared" si="104"/>
        <v>255</v>
      </c>
      <c r="M739">
        <f t="shared" si="105"/>
        <v>219</v>
      </c>
      <c r="N739">
        <f t="shared" si="106"/>
        <v>88</v>
      </c>
      <c r="P739" t="str">
        <f t="shared" si="107"/>
        <v>.Mustard-bg{background-color:#FFDB58;}</v>
      </c>
    </row>
    <row r="740" spans="2:16" ht="15.75">
      <c r="B740" s="1" t="s">
        <v>1618</v>
      </c>
      <c r="C740" t="s">
        <v>1619</v>
      </c>
      <c r="D740">
        <v>4845</v>
      </c>
      <c r="E740">
        <v>11985</v>
      </c>
      <c r="F740">
        <v>4845</v>
      </c>
      <c r="G740" t="str">
        <f t="shared" si="99"/>
        <v>MyrtleGreen</v>
      </c>
      <c r="H740" t="str">
        <f t="shared" si="100"/>
        <v>317873</v>
      </c>
      <c r="I740" t="str">
        <f t="shared" si="101"/>
        <v>31</v>
      </c>
      <c r="J740" t="str">
        <f t="shared" si="102"/>
        <v>78</v>
      </c>
      <c r="K740" t="str">
        <f t="shared" si="103"/>
        <v>73</v>
      </c>
      <c r="L740">
        <f t="shared" si="104"/>
        <v>49</v>
      </c>
      <c r="M740">
        <f t="shared" si="105"/>
        <v>120</v>
      </c>
      <c r="N740">
        <f t="shared" si="106"/>
        <v>115</v>
      </c>
      <c r="P740" t="str">
        <f t="shared" si="107"/>
        <v>.MyrtleGreen-bg{background-color:#317873;}</v>
      </c>
    </row>
    <row r="741" spans="2:16" ht="15.75">
      <c r="B741" s="1" t="s">
        <v>1620</v>
      </c>
      <c r="C741" t="s">
        <v>1621</v>
      </c>
      <c r="D741">
        <v>21420</v>
      </c>
      <c r="E741">
        <v>8160</v>
      </c>
      <c r="F741">
        <v>21420</v>
      </c>
      <c r="G741" t="str">
        <f t="shared" si="99"/>
        <v>Mystic</v>
      </c>
      <c r="H741" t="str">
        <f t="shared" si="100"/>
        <v>D65282</v>
      </c>
      <c r="I741" t="str">
        <f t="shared" si="101"/>
        <v>D6</v>
      </c>
      <c r="J741" t="str">
        <f t="shared" si="102"/>
        <v>52</v>
      </c>
      <c r="K741" t="str">
        <f t="shared" si="103"/>
        <v>82</v>
      </c>
      <c r="L741">
        <f t="shared" si="104"/>
        <v>214</v>
      </c>
      <c r="M741">
        <f t="shared" si="105"/>
        <v>82</v>
      </c>
      <c r="N741">
        <f t="shared" si="106"/>
        <v>130</v>
      </c>
      <c r="P741" t="str">
        <f t="shared" si="107"/>
        <v>.Mystic-bg{background-color:#D65282;}</v>
      </c>
    </row>
    <row r="742" spans="2:16" ht="15.75">
      <c r="B742" s="1" t="s">
        <v>1622</v>
      </c>
      <c r="C742" t="s">
        <v>1623</v>
      </c>
      <c r="D742">
        <v>17340</v>
      </c>
      <c r="E742">
        <v>6630</v>
      </c>
      <c r="F742">
        <v>17340</v>
      </c>
      <c r="G742" t="str">
        <f t="shared" si="99"/>
        <v>MysticMaroon</v>
      </c>
      <c r="H742" t="str">
        <f t="shared" si="100"/>
        <v>AD4379</v>
      </c>
      <c r="I742" t="str">
        <f t="shared" si="101"/>
        <v>AD</v>
      </c>
      <c r="J742" t="str">
        <f t="shared" si="102"/>
        <v>43</v>
      </c>
      <c r="K742" t="str">
        <f t="shared" si="103"/>
        <v>79</v>
      </c>
      <c r="L742">
        <f t="shared" si="104"/>
        <v>173</v>
      </c>
      <c r="M742">
        <f t="shared" si="105"/>
        <v>67</v>
      </c>
      <c r="N742">
        <f t="shared" si="106"/>
        <v>121</v>
      </c>
      <c r="P742" t="str">
        <f t="shared" si="107"/>
        <v>.MysticMaroon-bg{background-color:#AD4379;}</v>
      </c>
    </row>
    <row r="743" spans="2:16" ht="15.75">
      <c r="B743" s="1" t="s">
        <v>1624</v>
      </c>
      <c r="C743" t="s">
        <v>1625</v>
      </c>
      <c r="D743">
        <v>24480</v>
      </c>
      <c r="E743">
        <v>17340</v>
      </c>
      <c r="F743">
        <v>24480</v>
      </c>
      <c r="G743" t="str">
        <f t="shared" si="99"/>
        <v>NadeshikoPink</v>
      </c>
      <c r="H743" t="str">
        <f t="shared" si="100"/>
        <v>F6ADC6</v>
      </c>
      <c r="I743" t="str">
        <f t="shared" si="101"/>
        <v>F6</v>
      </c>
      <c r="J743" t="str">
        <f t="shared" si="102"/>
        <v>AD</v>
      </c>
      <c r="K743" t="str">
        <f t="shared" si="103"/>
        <v>C6</v>
      </c>
      <c r="L743">
        <f t="shared" si="104"/>
        <v>246</v>
      </c>
      <c r="M743">
        <f t="shared" si="105"/>
        <v>173</v>
      </c>
      <c r="N743">
        <f t="shared" si="106"/>
        <v>198</v>
      </c>
      <c r="P743" t="str">
        <f t="shared" si="107"/>
        <v>.NadeshikoPink-bg{background-color:#F6ADC6;}</v>
      </c>
    </row>
    <row r="744" spans="2:16" ht="15.75">
      <c r="B744" s="1" t="s">
        <v>1626</v>
      </c>
      <c r="C744" t="s">
        <v>1627</v>
      </c>
      <c r="D744">
        <v>4080</v>
      </c>
      <c r="E744">
        <v>12750</v>
      </c>
      <c r="F744">
        <v>4080</v>
      </c>
      <c r="G744" t="str">
        <f t="shared" si="99"/>
        <v>NapierGreen</v>
      </c>
      <c r="H744" t="str">
        <f t="shared" si="100"/>
        <v>2A8000</v>
      </c>
      <c r="I744" t="str">
        <f t="shared" si="101"/>
        <v>2A</v>
      </c>
      <c r="J744" t="str">
        <f t="shared" si="102"/>
        <v>80</v>
      </c>
      <c r="K744" t="str">
        <f t="shared" si="103"/>
        <v>00</v>
      </c>
      <c r="L744">
        <f t="shared" si="104"/>
        <v>42</v>
      </c>
      <c r="M744">
        <f t="shared" si="105"/>
        <v>128</v>
      </c>
      <c r="N744">
        <f t="shared" si="106"/>
        <v>0</v>
      </c>
      <c r="P744" t="str">
        <f t="shared" si="107"/>
        <v>.NapierGreen-bg{background-color:#2A8000;}</v>
      </c>
    </row>
    <row r="745" spans="2:16" ht="15.75">
      <c r="B745" s="1" t="s">
        <v>1628</v>
      </c>
      <c r="C745" t="s">
        <v>1629</v>
      </c>
      <c r="D745">
        <v>24990</v>
      </c>
      <c r="E745">
        <v>21675</v>
      </c>
      <c r="F745">
        <v>24990</v>
      </c>
      <c r="G745" t="str">
        <f t="shared" si="99"/>
        <v>NaplesYellow</v>
      </c>
      <c r="H745" t="str">
        <f t="shared" si="100"/>
        <v>FADA5E</v>
      </c>
      <c r="I745" t="str">
        <f t="shared" si="101"/>
        <v>FA</v>
      </c>
      <c r="J745" t="str">
        <f t="shared" si="102"/>
        <v>DA</v>
      </c>
      <c r="K745" t="str">
        <f t="shared" si="103"/>
        <v>5E</v>
      </c>
      <c r="L745">
        <f t="shared" si="104"/>
        <v>250</v>
      </c>
      <c r="M745">
        <f t="shared" si="105"/>
        <v>218</v>
      </c>
      <c r="N745">
        <f t="shared" si="106"/>
        <v>94</v>
      </c>
      <c r="P745" t="str">
        <f t="shared" si="107"/>
        <v>.NaplesYellow-bg{background-color:#FADA5E;}</v>
      </c>
    </row>
    <row r="746" spans="2:16" ht="15.75">
      <c r="B746" s="1" t="s">
        <v>1630</v>
      </c>
      <c r="C746" t="s">
        <v>1631</v>
      </c>
      <c r="D746">
        <v>25500</v>
      </c>
      <c r="E746">
        <v>22185</v>
      </c>
      <c r="F746">
        <v>25500</v>
      </c>
      <c r="G746" t="str">
        <f t="shared" si="99"/>
        <v>NavajoWhite</v>
      </c>
      <c r="H746" t="str">
        <f t="shared" si="100"/>
        <v>FFDEAD</v>
      </c>
      <c r="I746" t="str">
        <f t="shared" si="101"/>
        <v>FF</v>
      </c>
      <c r="J746" t="str">
        <f t="shared" si="102"/>
        <v>DE</v>
      </c>
      <c r="K746" t="str">
        <f t="shared" si="103"/>
        <v>AD</v>
      </c>
      <c r="L746">
        <f t="shared" si="104"/>
        <v>255</v>
      </c>
      <c r="M746">
        <f t="shared" si="105"/>
        <v>222</v>
      </c>
      <c r="N746">
        <f t="shared" si="106"/>
        <v>173</v>
      </c>
      <c r="P746" t="str">
        <f t="shared" si="107"/>
        <v>.NavajoWhite-bg{background-color:#FFDEAD;}</v>
      </c>
    </row>
    <row r="747" spans="2:16" ht="15.75">
      <c r="B747" s="1" t="s">
        <v>1632</v>
      </c>
      <c r="C747" t="s">
        <v>1633</v>
      </c>
      <c r="D747">
        <v>0</v>
      </c>
      <c r="E747">
        <v>0</v>
      </c>
      <c r="F747">
        <v>0</v>
      </c>
      <c r="G747" t="str">
        <f t="shared" si="99"/>
        <v>Navy</v>
      </c>
      <c r="H747" t="str">
        <f t="shared" si="100"/>
        <v>000080</v>
      </c>
      <c r="I747" t="str">
        <f t="shared" si="101"/>
        <v>00</v>
      </c>
      <c r="J747" t="str">
        <f t="shared" si="102"/>
        <v>00</v>
      </c>
      <c r="K747" t="str">
        <f t="shared" si="103"/>
        <v>80</v>
      </c>
      <c r="L747">
        <f t="shared" si="104"/>
        <v>0</v>
      </c>
      <c r="M747">
        <f t="shared" si="105"/>
        <v>0</v>
      </c>
      <c r="N747">
        <f t="shared" si="106"/>
        <v>128</v>
      </c>
      <c r="P747" t="str">
        <f t="shared" si="107"/>
        <v>.Navy-bg{background-color:#000080;}</v>
      </c>
    </row>
    <row r="748" spans="2:16" ht="15.75">
      <c r="B748" s="1" t="s">
        <v>1634</v>
      </c>
      <c r="C748" t="s">
        <v>1330</v>
      </c>
      <c r="D748">
        <v>14790</v>
      </c>
      <c r="E748">
        <v>8670</v>
      </c>
      <c r="F748">
        <v>14790</v>
      </c>
      <c r="G748" t="str">
        <f t="shared" si="99"/>
        <v>NavyPurple</v>
      </c>
      <c r="H748" t="str">
        <f t="shared" si="100"/>
        <v>9457EB</v>
      </c>
      <c r="I748" t="str">
        <f t="shared" si="101"/>
        <v>94</v>
      </c>
      <c r="J748" t="str">
        <f t="shared" si="102"/>
        <v>57</v>
      </c>
      <c r="K748" t="str">
        <f t="shared" si="103"/>
        <v>EB</v>
      </c>
      <c r="L748">
        <f t="shared" si="104"/>
        <v>148</v>
      </c>
      <c r="M748">
        <f t="shared" si="105"/>
        <v>87</v>
      </c>
      <c r="N748">
        <f t="shared" si="106"/>
        <v>235</v>
      </c>
      <c r="P748" t="str">
        <f t="shared" si="107"/>
        <v>.NavyPurple-bg{background-color:#9457EB;}</v>
      </c>
    </row>
    <row r="749" spans="2:16" ht="15.75">
      <c r="B749" s="1" t="s">
        <v>1635</v>
      </c>
      <c r="C749" t="s">
        <v>1636</v>
      </c>
      <c r="D749">
        <v>25500</v>
      </c>
      <c r="E749">
        <v>16320</v>
      </c>
      <c r="F749">
        <v>25500</v>
      </c>
      <c r="G749" t="str">
        <f t="shared" si="99"/>
        <v>NeonCarrot</v>
      </c>
      <c r="H749" t="str">
        <f t="shared" si="100"/>
        <v>FFA343</v>
      </c>
      <c r="I749" t="str">
        <f t="shared" si="101"/>
        <v>FF</v>
      </c>
      <c r="J749" t="str">
        <f t="shared" si="102"/>
        <v>A3</v>
      </c>
      <c r="K749" t="str">
        <f t="shared" si="103"/>
        <v>43</v>
      </c>
      <c r="L749">
        <f t="shared" si="104"/>
        <v>255</v>
      </c>
      <c r="M749">
        <f t="shared" si="105"/>
        <v>163</v>
      </c>
      <c r="N749">
        <f t="shared" si="106"/>
        <v>67</v>
      </c>
      <c r="P749" t="str">
        <f t="shared" si="107"/>
        <v>.NeonCarrot-bg{background-color:#FFA343;}</v>
      </c>
    </row>
    <row r="750" spans="2:16" ht="15.75">
      <c r="B750" s="1" t="s">
        <v>1637</v>
      </c>
      <c r="C750" t="s">
        <v>1638</v>
      </c>
      <c r="D750">
        <v>25500</v>
      </c>
      <c r="E750">
        <v>6375</v>
      </c>
      <c r="F750">
        <v>25500</v>
      </c>
      <c r="G750" t="str">
        <f t="shared" si="99"/>
        <v>NeonFuchsia</v>
      </c>
      <c r="H750" t="str">
        <f t="shared" si="100"/>
        <v>FE4164</v>
      </c>
      <c r="I750" t="str">
        <f t="shared" si="101"/>
        <v>FE</v>
      </c>
      <c r="J750" t="str">
        <f t="shared" si="102"/>
        <v>41</v>
      </c>
      <c r="K750" t="str">
        <f t="shared" si="103"/>
        <v>64</v>
      </c>
      <c r="L750">
        <f t="shared" si="104"/>
        <v>254</v>
      </c>
      <c r="M750">
        <f t="shared" si="105"/>
        <v>65</v>
      </c>
      <c r="N750">
        <f t="shared" si="106"/>
        <v>100</v>
      </c>
      <c r="P750" t="str">
        <f t="shared" si="107"/>
        <v>.NeonFuchsia-bg{background-color:#FE4164;}</v>
      </c>
    </row>
    <row r="751" spans="2:16" ht="15.75">
      <c r="B751" s="1" t="s">
        <v>1639</v>
      </c>
      <c r="C751" t="s">
        <v>1640</v>
      </c>
      <c r="D751">
        <v>5610</v>
      </c>
      <c r="E751">
        <v>25500</v>
      </c>
      <c r="F751">
        <v>5610</v>
      </c>
      <c r="G751" t="str">
        <f t="shared" si="99"/>
        <v>NeonGreen</v>
      </c>
      <c r="H751" t="str">
        <f t="shared" si="100"/>
        <v>39FF14</v>
      </c>
      <c r="I751" t="str">
        <f t="shared" si="101"/>
        <v>39</v>
      </c>
      <c r="J751" t="str">
        <f t="shared" si="102"/>
        <v>FF</v>
      </c>
      <c r="K751" t="str">
        <f t="shared" si="103"/>
        <v>14</v>
      </c>
      <c r="L751">
        <f t="shared" si="104"/>
        <v>57</v>
      </c>
      <c r="M751">
        <f t="shared" si="105"/>
        <v>255</v>
      </c>
      <c r="N751">
        <f t="shared" si="106"/>
        <v>20</v>
      </c>
      <c r="P751" t="str">
        <f t="shared" si="107"/>
        <v>.NeonGreen-bg{background-color:#39FF14;}</v>
      </c>
    </row>
    <row r="752" spans="2:16" ht="15.75">
      <c r="B752" s="1" t="s">
        <v>1641</v>
      </c>
      <c r="C752" t="s">
        <v>1642</v>
      </c>
      <c r="D752">
        <v>3315</v>
      </c>
      <c r="E752">
        <v>7905</v>
      </c>
      <c r="F752">
        <v>3315</v>
      </c>
      <c r="G752" t="str">
        <f t="shared" si="99"/>
        <v>NewCar</v>
      </c>
      <c r="H752" t="str">
        <f t="shared" si="100"/>
        <v>214FC6</v>
      </c>
      <c r="I752" t="str">
        <f t="shared" si="101"/>
        <v>21</v>
      </c>
      <c r="J752" t="str">
        <f t="shared" si="102"/>
        <v>4F</v>
      </c>
      <c r="K752" t="str">
        <f t="shared" si="103"/>
        <v>C6</v>
      </c>
      <c r="L752">
        <f t="shared" si="104"/>
        <v>33</v>
      </c>
      <c r="M752">
        <f t="shared" si="105"/>
        <v>79</v>
      </c>
      <c r="N752">
        <f t="shared" si="106"/>
        <v>198</v>
      </c>
      <c r="P752" t="str">
        <f t="shared" si="107"/>
        <v>.NewCar-bg{background-color:#214FC6;}</v>
      </c>
    </row>
    <row r="753" spans="2:16" ht="15.75">
      <c r="B753" s="1" t="s">
        <v>1643</v>
      </c>
      <c r="C753" t="s">
        <v>1644</v>
      </c>
      <c r="D753">
        <v>21420</v>
      </c>
      <c r="E753">
        <v>13005</v>
      </c>
      <c r="F753">
        <v>21420</v>
      </c>
      <c r="G753" t="str">
        <f t="shared" si="99"/>
        <v>NewYorkPink</v>
      </c>
      <c r="H753" t="str">
        <f t="shared" si="100"/>
        <v>D7837F</v>
      </c>
      <c r="I753" t="str">
        <f t="shared" si="101"/>
        <v>D7</v>
      </c>
      <c r="J753" t="str">
        <f t="shared" si="102"/>
        <v>83</v>
      </c>
      <c r="K753" t="str">
        <f t="shared" si="103"/>
        <v>7F</v>
      </c>
      <c r="L753">
        <f t="shared" si="104"/>
        <v>215</v>
      </c>
      <c r="M753">
        <f t="shared" si="105"/>
        <v>131</v>
      </c>
      <c r="N753">
        <f t="shared" si="106"/>
        <v>127</v>
      </c>
      <c r="P753" t="str">
        <f t="shared" si="107"/>
        <v>.NewYorkPink-bg{background-color:#D7837F;}</v>
      </c>
    </row>
    <row r="754" spans="2:16" ht="15.75">
      <c r="B754" s="1" t="s">
        <v>1645</v>
      </c>
      <c r="C754" t="s">
        <v>1646</v>
      </c>
      <c r="D754">
        <v>11475</v>
      </c>
      <c r="E754">
        <v>11475</v>
      </c>
      <c r="F754">
        <v>11475</v>
      </c>
      <c r="G754" t="str">
        <f t="shared" si="99"/>
        <v>Nickel</v>
      </c>
      <c r="H754" t="str">
        <f t="shared" si="100"/>
        <v>727472</v>
      </c>
      <c r="I754" t="str">
        <f t="shared" si="101"/>
        <v>72</v>
      </c>
      <c r="J754" t="str">
        <f t="shared" si="102"/>
        <v>74</v>
      </c>
      <c r="K754" t="str">
        <f t="shared" si="103"/>
        <v>72</v>
      </c>
      <c r="L754">
        <f t="shared" si="104"/>
        <v>114</v>
      </c>
      <c r="M754">
        <f t="shared" si="105"/>
        <v>116</v>
      </c>
      <c r="N754">
        <f t="shared" si="106"/>
        <v>114</v>
      </c>
      <c r="P754" t="str">
        <f t="shared" si="107"/>
        <v>.Nickel-bg{background-color:#727472;}</v>
      </c>
    </row>
    <row r="755" spans="2:16" ht="15.75">
      <c r="B755" s="1" t="s">
        <v>1647</v>
      </c>
      <c r="C755" t="s">
        <v>1648</v>
      </c>
      <c r="D755">
        <v>16320</v>
      </c>
      <c r="E755">
        <v>22185</v>
      </c>
      <c r="F755">
        <v>16320</v>
      </c>
      <c r="G755" t="str">
        <f t="shared" si="99"/>
        <v>NonphotoBlue</v>
      </c>
      <c r="H755" t="str">
        <f t="shared" si="100"/>
        <v>A4DDED</v>
      </c>
      <c r="I755" t="str">
        <f t="shared" si="101"/>
        <v>A4</v>
      </c>
      <c r="J755" t="str">
        <f t="shared" si="102"/>
        <v>DD</v>
      </c>
      <c r="K755" t="str">
        <f t="shared" si="103"/>
        <v>ED</v>
      </c>
      <c r="L755">
        <f t="shared" si="104"/>
        <v>164</v>
      </c>
      <c r="M755">
        <f t="shared" si="105"/>
        <v>221</v>
      </c>
      <c r="N755">
        <f t="shared" si="106"/>
        <v>237</v>
      </c>
      <c r="P755" t="str">
        <f t="shared" si="107"/>
        <v>.NonphotoBlue-bg{background-color:#A4DDED;}</v>
      </c>
    </row>
    <row r="756" spans="2:16" ht="15.75">
      <c r="B756" s="1" t="s">
        <v>1649</v>
      </c>
      <c r="C756" t="s">
        <v>1650</v>
      </c>
      <c r="D756">
        <v>510</v>
      </c>
      <c r="E756">
        <v>14280</v>
      </c>
      <c r="F756">
        <v>510</v>
      </c>
      <c r="G756" t="str">
        <f t="shared" si="99"/>
        <v>NorthTexasGreen</v>
      </c>
      <c r="H756" t="str">
        <f t="shared" si="100"/>
        <v>059033</v>
      </c>
      <c r="I756" t="str">
        <f t="shared" si="101"/>
        <v>05</v>
      </c>
      <c r="J756" t="str">
        <f t="shared" si="102"/>
        <v>90</v>
      </c>
      <c r="K756" t="str">
        <f t="shared" si="103"/>
        <v>33</v>
      </c>
      <c r="L756">
        <f t="shared" si="104"/>
        <v>5</v>
      </c>
      <c r="M756">
        <f t="shared" si="105"/>
        <v>144</v>
      </c>
      <c r="N756">
        <f t="shared" si="106"/>
        <v>51</v>
      </c>
      <c r="P756" t="str">
        <f t="shared" si="107"/>
        <v>.NorthTexasGreen-bg{background-color:#059033;}</v>
      </c>
    </row>
    <row r="757" spans="2:16" ht="15.75">
      <c r="B757" s="1" t="s">
        <v>1651</v>
      </c>
      <c r="C757" t="s">
        <v>1652</v>
      </c>
      <c r="D757">
        <v>23205</v>
      </c>
      <c r="E757">
        <v>25500</v>
      </c>
      <c r="F757">
        <v>23205</v>
      </c>
      <c r="G757" t="str">
        <f t="shared" si="99"/>
        <v>Nyanza</v>
      </c>
      <c r="H757" t="str">
        <f t="shared" si="100"/>
        <v>E9FFDB</v>
      </c>
      <c r="I757" t="str">
        <f t="shared" si="101"/>
        <v>E9</v>
      </c>
      <c r="J757" t="str">
        <f t="shared" si="102"/>
        <v>FF</v>
      </c>
      <c r="K757" t="str">
        <f t="shared" si="103"/>
        <v>DB</v>
      </c>
      <c r="L757">
        <f t="shared" si="104"/>
        <v>233</v>
      </c>
      <c r="M757">
        <f t="shared" si="105"/>
        <v>255</v>
      </c>
      <c r="N757">
        <f t="shared" si="106"/>
        <v>219</v>
      </c>
      <c r="P757" t="str">
        <f t="shared" si="107"/>
        <v>.Nyanza-bg{background-color:#E9FFDB;}</v>
      </c>
    </row>
    <row r="758" spans="2:16" ht="15.75">
      <c r="B758" s="1" t="s">
        <v>1653</v>
      </c>
      <c r="C758" t="s">
        <v>1654</v>
      </c>
      <c r="D758">
        <v>7905</v>
      </c>
      <c r="E758">
        <v>6630</v>
      </c>
      <c r="F758">
        <v>7905</v>
      </c>
      <c r="G758" t="str">
        <f t="shared" si="99"/>
        <v>OceanBlue</v>
      </c>
      <c r="H758" t="str">
        <f t="shared" si="100"/>
        <v>4F42B5</v>
      </c>
      <c r="I758" t="str">
        <f t="shared" si="101"/>
        <v>4F</v>
      </c>
      <c r="J758" t="str">
        <f t="shared" si="102"/>
        <v>42</v>
      </c>
      <c r="K758" t="str">
        <f t="shared" si="103"/>
        <v>B5</v>
      </c>
      <c r="L758">
        <f t="shared" si="104"/>
        <v>79</v>
      </c>
      <c r="M758">
        <f t="shared" si="105"/>
        <v>66</v>
      </c>
      <c r="N758">
        <f t="shared" si="106"/>
        <v>181</v>
      </c>
      <c r="P758" t="str">
        <f t="shared" si="107"/>
        <v>.OceanBlue-bg{background-color:#4F42B5;}</v>
      </c>
    </row>
    <row r="759" spans="2:16" ht="15.75">
      <c r="B759" s="1" t="s">
        <v>1655</v>
      </c>
      <c r="C759" t="s">
        <v>1656</v>
      </c>
      <c r="D759">
        <v>0</v>
      </c>
      <c r="E759">
        <v>11985</v>
      </c>
      <c r="F759">
        <v>0</v>
      </c>
      <c r="G759" t="str">
        <f t="shared" si="99"/>
        <v>OceanBoatBlue</v>
      </c>
      <c r="H759" t="str">
        <f t="shared" si="100"/>
        <v>0077BE</v>
      </c>
      <c r="I759" t="str">
        <f t="shared" si="101"/>
        <v>00</v>
      </c>
      <c r="J759" t="str">
        <f t="shared" si="102"/>
        <v>77</v>
      </c>
      <c r="K759" t="str">
        <f t="shared" si="103"/>
        <v>BE</v>
      </c>
      <c r="L759">
        <f t="shared" si="104"/>
        <v>0</v>
      </c>
      <c r="M759">
        <f t="shared" si="105"/>
        <v>119</v>
      </c>
      <c r="N759">
        <f t="shared" si="106"/>
        <v>190</v>
      </c>
      <c r="P759" t="str">
        <f t="shared" si="107"/>
        <v>.OceanBoatBlue-bg{background-color:#0077BE;}</v>
      </c>
    </row>
    <row r="760" spans="2:16" ht="15.75">
      <c r="B760" s="1" t="s">
        <v>1657</v>
      </c>
      <c r="C760" t="s">
        <v>1658</v>
      </c>
      <c r="D760">
        <v>7140</v>
      </c>
      <c r="E760">
        <v>19125</v>
      </c>
      <c r="F760">
        <v>7140</v>
      </c>
      <c r="G760" t="str">
        <f t="shared" si="99"/>
        <v>OceanGreen</v>
      </c>
      <c r="H760" t="str">
        <f t="shared" si="100"/>
        <v>48BF91</v>
      </c>
      <c r="I760" t="str">
        <f t="shared" si="101"/>
        <v>48</v>
      </c>
      <c r="J760" t="str">
        <f t="shared" si="102"/>
        <v>BF</v>
      </c>
      <c r="K760" t="str">
        <f t="shared" si="103"/>
        <v>91</v>
      </c>
      <c r="L760">
        <f t="shared" si="104"/>
        <v>72</v>
      </c>
      <c r="M760">
        <f t="shared" si="105"/>
        <v>191</v>
      </c>
      <c r="N760">
        <f t="shared" si="106"/>
        <v>145</v>
      </c>
      <c r="P760" t="str">
        <f t="shared" si="107"/>
        <v>.OceanGreen-bg{background-color:#48BF91;}</v>
      </c>
    </row>
    <row r="761" spans="2:16" ht="15.75">
      <c r="B761" s="1" t="s">
        <v>1659</v>
      </c>
      <c r="C761" t="s">
        <v>1660</v>
      </c>
      <c r="D761">
        <v>20400</v>
      </c>
      <c r="E761">
        <v>11985</v>
      </c>
      <c r="F761">
        <v>20400</v>
      </c>
      <c r="G761" t="str">
        <f t="shared" si="99"/>
        <v>Ochre</v>
      </c>
      <c r="H761" t="str">
        <f t="shared" si="100"/>
        <v>CC7722</v>
      </c>
      <c r="I761" t="str">
        <f t="shared" si="101"/>
        <v>CC</v>
      </c>
      <c r="J761" t="str">
        <f t="shared" si="102"/>
        <v>77</v>
      </c>
      <c r="K761" t="str">
        <f t="shared" si="103"/>
        <v>22</v>
      </c>
      <c r="L761">
        <f t="shared" si="104"/>
        <v>204</v>
      </c>
      <c r="M761">
        <f t="shared" si="105"/>
        <v>119</v>
      </c>
      <c r="N761">
        <f t="shared" si="106"/>
        <v>34</v>
      </c>
      <c r="P761" t="str">
        <f t="shared" si="107"/>
        <v>.Ochre-bg{background-color:#CC7722;}</v>
      </c>
    </row>
    <row r="762" spans="2:16" ht="15.75">
      <c r="B762" s="1" t="s">
        <v>1661</v>
      </c>
      <c r="C762" t="s">
        <v>266</v>
      </c>
      <c r="D762">
        <v>0</v>
      </c>
      <c r="E762">
        <v>12750</v>
      </c>
      <c r="F762">
        <v>0</v>
      </c>
      <c r="G762" t="str">
        <f t="shared" si="99"/>
        <v>OfficeGreen</v>
      </c>
      <c r="H762" t="str">
        <f t="shared" si="100"/>
        <v>008000</v>
      </c>
      <c r="I762" t="str">
        <f t="shared" si="101"/>
        <v>00</v>
      </c>
      <c r="J762" t="str">
        <f t="shared" si="102"/>
        <v>80</v>
      </c>
      <c r="K762" t="str">
        <f t="shared" si="103"/>
        <v>00</v>
      </c>
      <c r="L762">
        <f t="shared" si="104"/>
        <v>0</v>
      </c>
      <c r="M762">
        <f t="shared" si="105"/>
        <v>128</v>
      </c>
      <c r="N762">
        <f t="shared" si="106"/>
        <v>0</v>
      </c>
      <c r="P762" t="str">
        <f t="shared" si="107"/>
        <v>.OfficeGreen-bg{background-color:#008000;}</v>
      </c>
    </row>
    <row r="763" spans="2:16" ht="15.75">
      <c r="B763" s="1" t="s">
        <v>1662</v>
      </c>
      <c r="C763" t="s">
        <v>1663</v>
      </c>
      <c r="D763">
        <v>25245</v>
      </c>
      <c r="E763">
        <v>8160</v>
      </c>
      <c r="F763">
        <v>25245</v>
      </c>
      <c r="G763" t="str">
        <f t="shared" si="99"/>
        <v>OgreOdor</v>
      </c>
      <c r="H763" t="str">
        <f t="shared" si="100"/>
        <v>FD5240</v>
      </c>
      <c r="I763" t="str">
        <f t="shared" si="101"/>
        <v>FD</v>
      </c>
      <c r="J763" t="str">
        <f t="shared" si="102"/>
        <v>52</v>
      </c>
      <c r="K763" t="str">
        <f t="shared" si="103"/>
        <v>40</v>
      </c>
      <c r="L763">
        <f t="shared" si="104"/>
        <v>253</v>
      </c>
      <c r="M763">
        <f t="shared" si="105"/>
        <v>82</v>
      </c>
      <c r="N763">
        <f t="shared" si="106"/>
        <v>64</v>
      </c>
      <c r="P763" t="str">
        <f t="shared" si="107"/>
        <v>.OgreOdor-bg{background-color:#FD5240;}</v>
      </c>
    </row>
    <row r="764" spans="2:16" ht="15.75">
      <c r="B764" s="1" t="s">
        <v>1664</v>
      </c>
      <c r="C764" t="s">
        <v>1665</v>
      </c>
      <c r="D764">
        <v>6630</v>
      </c>
      <c r="E764">
        <v>4845</v>
      </c>
      <c r="F764">
        <v>6630</v>
      </c>
      <c r="G764" t="str">
        <f t="shared" si="99"/>
        <v>OldBurgundy</v>
      </c>
      <c r="H764" t="str">
        <f t="shared" si="100"/>
        <v>43302E</v>
      </c>
      <c r="I764" t="str">
        <f t="shared" si="101"/>
        <v>43</v>
      </c>
      <c r="J764" t="str">
        <f t="shared" si="102"/>
        <v>30</v>
      </c>
      <c r="K764" t="str">
        <f t="shared" si="103"/>
        <v>2E</v>
      </c>
      <c r="L764">
        <f t="shared" si="104"/>
        <v>67</v>
      </c>
      <c r="M764">
        <f t="shared" si="105"/>
        <v>48</v>
      </c>
      <c r="N764">
        <f t="shared" si="106"/>
        <v>46</v>
      </c>
      <c r="P764" t="str">
        <f t="shared" si="107"/>
        <v>.OldBurgundy-bg{background-color:#43302E;}</v>
      </c>
    </row>
    <row r="765" spans="2:16" ht="15.75">
      <c r="B765" s="1" t="s">
        <v>1666</v>
      </c>
      <c r="C765" t="s">
        <v>1667</v>
      </c>
      <c r="D765">
        <v>20655</v>
      </c>
      <c r="E765">
        <v>18105</v>
      </c>
      <c r="F765">
        <v>20655</v>
      </c>
      <c r="G765" t="str">
        <f t="shared" si="99"/>
        <v>OldGold</v>
      </c>
      <c r="H765" t="str">
        <f t="shared" si="100"/>
        <v>CFB53B</v>
      </c>
      <c r="I765" t="str">
        <f t="shared" si="101"/>
        <v>CF</v>
      </c>
      <c r="J765" t="str">
        <f t="shared" si="102"/>
        <v>B5</v>
      </c>
      <c r="K765" t="str">
        <f t="shared" si="103"/>
        <v>3B</v>
      </c>
      <c r="L765">
        <f t="shared" si="104"/>
        <v>207</v>
      </c>
      <c r="M765">
        <f t="shared" si="105"/>
        <v>181</v>
      </c>
      <c r="N765">
        <f t="shared" si="106"/>
        <v>59</v>
      </c>
      <c r="P765" t="str">
        <f t="shared" si="107"/>
        <v>.OldGold-bg{background-color:#CFB53B;}</v>
      </c>
    </row>
    <row r="766" spans="2:16" ht="15.75">
      <c r="B766" s="1" t="s">
        <v>1668</v>
      </c>
      <c r="C766" t="s">
        <v>990</v>
      </c>
      <c r="D766">
        <v>8670</v>
      </c>
      <c r="E766">
        <v>6120</v>
      </c>
      <c r="F766">
        <v>8670</v>
      </c>
      <c r="G766" t="str">
        <f t="shared" si="99"/>
        <v>OldHeliotrope</v>
      </c>
      <c r="H766" t="str">
        <f t="shared" si="100"/>
        <v>563C5C</v>
      </c>
      <c r="I766" t="str">
        <f t="shared" si="101"/>
        <v>56</v>
      </c>
      <c r="J766" t="str">
        <f t="shared" si="102"/>
        <v>3C</v>
      </c>
      <c r="K766" t="str">
        <f t="shared" si="103"/>
        <v>5C</v>
      </c>
      <c r="L766">
        <f t="shared" si="104"/>
        <v>86</v>
      </c>
      <c r="M766">
        <f t="shared" si="105"/>
        <v>60</v>
      </c>
      <c r="N766">
        <f t="shared" si="106"/>
        <v>92</v>
      </c>
      <c r="P766" t="str">
        <f t="shared" si="107"/>
        <v>.OldHeliotrope-bg{background-color:#563C5C;}</v>
      </c>
    </row>
    <row r="767" spans="2:16" ht="15.75">
      <c r="B767" s="1" t="s">
        <v>1669</v>
      </c>
      <c r="C767" t="s">
        <v>1670</v>
      </c>
      <c r="D767">
        <v>25245</v>
      </c>
      <c r="E767">
        <v>24480</v>
      </c>
      <c r="F767">
        <v>25245</v>
      </c>
      <c r="G767" t="str">
        <f t="shared" si="99"/>
        <v>OldLace</v>
      </c>
      <c r="H767" t="str">
        <f t="shared" si="100"/>
        <v>FDF5E6</v>
      </c>
      <c r="I767" t="str">
        <f t="shared" si="101"/>
        <v>FD</v>
      </c>
      <c r="J767" t="str">
        <f t="shared" si="102"/>
        <v>F5</v>
      </c>
      <c r="K767" t="str">
        <f t="shared" si="103"/>
        <v>E6</v>
      </c>
      <c r="L767">
        <f t="shared" si="104"/>
        <v>253</v>
      </c>
      <c r="M767">
        <f t="shared" si="105"/>
        <v>245</v>
      </c>
      <c r="N767">
        <f t="shared" si="106"/>
        <v>230</v>
      </c>
      <c r="P767" t="str">
        <f t="shared" si="107"/>
        <v>.OldLace-bg{background-color:#FDF5E6;}</v>
      </c>
    </row>
    <row r="768" spans="2:16" ht="15.75">
      <c r="B768" s="1" t="s">
        <v>1671</v>
      </c>
      <c r="C768" t="s">
        <v>1672</v>
      </c>
      <c r="D768">
        <v>11985</v>
      </c>
      <c r="E768">
        <v>10455</v>
      </c>
      <c r="F768">
        <v>11985</v>
      </c>
      <c r="G768" t="str">
        <f t="shared" si="99"/>
        <v>OldLavender</v>
      </c>
      <c r="H768" t="str">
        <f t="shared" si="100"/>
        <v>796878</v>
      </c>
      <c r="I768" t="str">
        <f t="shared" si="101"/>
        <v>79</v>
      </c>
      <c r="J768" t="str">
        <f t="shared" si="102"/>
        <v>68</v>
      </c>
      <c r="K768" t="str">
        <f t="shared" si="103"/>
        <v>78</v>
      </c>
      <c r="L768">
        <f t="shared" si="104"/>
        <v>121</v>
      </c>
      <c r="M768">
        <f t="shared" si="105"/>
        <v>104</v>
      </c>
      <c r="N768">
        <f t="shared" si="106"/>
        <v>120</v>
      </c>
      <c r="P768" t="str">
        <f t="shared" si="107"/>
        <v>.OldLavender-bg{background-color:#796878;}</v>
      </c>
    </row>
    <row r="769" spans="2:16" ht="15.75">
      <c r="B769" s="1" t="s">
        <v>1673</v>
      </c>
      <c r="C769" t="s">
        <v>1674</v>
      </c>
      <c r="D769">
        <v>10200</v>
      </c>
      <c r="E769">
        <v>4845</v>
      </c>
      <c r="F769">
        <v>10200</v>
      </c>
      <c r="G769" t="str">
        <f t="shared" si="99"/>
        <v>OldMauve</v>
      </c>
      <c r="H769" t="str">
        <f t="shared" si="100"/>
        <v>673147</v>
      </c>
      <c r="I769" t="str">
        <f t="shared" si="101"/>
        <v>67</v>
      </c>
      <c r="J769" t="str">
        <f t="shared" si="102"/>
        <v>31</v>
      </c>
      <c r="K769" t="str">
        <f t="shared" si="103"/>
        <v>47</v>
      </c>
      <c r="L769">
        <f t="shared" si="104"/>
        <v>103</v>
      </c>
      <c r="M769">
        <f t="shared" si="105"/>
        <v>49</v>
      </c>
      <c r="N769">
        <f t="shared" si="106"/>
        <v>71</v>
      </c>
      <c r="P769" t="str">
        <f t="shared" si="107"/>
        <v>.OldMauve-bg{background-color:#673147;}</v>
      </c>
    </row>
    <row r="770" spans="2:16" ht="15.75">
      <c r="B770" s="1" t="s">
        <v>1675</v>
      </c>
      <c r="C770" t="s">
        <v>1676</v>
      </c>
      <c r="D770">
        <v>13515</v>
      </c>
      <c r="E770">
        <v>12495</v>
      </c>
      <c r="F770">
        <v>13515</v>
      </c>
      <c r="G770" t="str">
        <f t="shared" si="99"/>
        <v>OldMossGreen</v>
      </c>
      <c r="H770" t="str">
        <f t="shared" si="100"/>
        <v>867E36</v>
      </c>
      <c r="I770" t="str">
        <f t="shared" si="101"/>
        <v>86</v>
      </c>
      <c r="J770" t="str">
        <f t="shared" si="102"/>
        <v>7E</v>
      </c>
      <c r="K770" t="str">
        <f t="shared" si="103"/>
        <v>36</v>
      </c>
      <c r="L770">
        <f t="shared" si="104"/>
        <v>134</v>
      </c>
      <c r="M770">
        <f t="shared" si="105"/>
        <v>126</v>
      </c>
      <c r="N770">
        <f t="shared" si="106"/>
        <v>54</v>
      </c>
      <c r="P770" t="str">
        <f t="shared" si="107"/>
        <v>.OldMossGreen-bg{background-color:#867E36;}</v>
      </c>
    </row>
    <row r="771" spans="2:16" ht="15.75">
      <c r="B771" s="1" t="s">
        <v>1677</v>
      </c>
      <c r="C771" t="s">
        <v>1678</v>
      </c>
      <c r="D771">
        <v>19125</v>
      </c>
      <c r="E771">
        <v>12750</v>
      </c>
      <c r="F771">
        <v>19125</v>
      </c>
      <c r="G771" t="str">
        <f t="shared" si="99"/>
        <v>OldRose</v>
      </c>
      <c r="H771" t="str">
        <f t="shared" si="100"/>
        <v>C08081</v>
      </c>
      <c r="I771" t="str">
        <f t="shared" si="101"/>
        <v>C0</v>
      </c>
      <c r="J771" t="str">
        <f t="shared" si="102"/>
        <v>80</v>
      </c>
      <c r="K771" t="str">
        <f t="shared" si="103"/>
        <v>81</v>
      </c>
      <c r="L771">
        <f t="shared" si="104"/>
        <v>192</v>
      </c>
      <c r="M771">
        <f t="shared" si="105"/>
        <v>128</v>
      </c>
      <c r="N771">
        <f t="shared" si="106"/>
        <v>129</v>
      </c>
      <c r="P771" t="str">
        <f t="shared" si="107"/>
        <v>.OldRose-bg{background-color:#C08081;}</v>
      </c>
    </row>
    <row r="772" spans="2:16" ht="15.75">
      <c r="B772" s="1" t="s">
        <v>1679</v>
      </c>
      <c r="C772" t="s">
        <v>331</v>
      </c>
      <c r="D772">
        <v>13260</v>
      </c>
      <c r="E772">
        <v>13260</v>
      </c>
      <c r="F772">
        <v>13260</v>
      </c>
      <c r="G772" t="str">
        <f t="shared" ref="G772:G835" si="108">SUBSTITUTE(PROPER(AlphaNumericOnly(B772))," ","")</f>
        <v>OldSilver</v>
      </c>
      <c r="H772" t="str">
        <f t="shared" ref="H772:H835" si="109">RIGHT(C772,6)</f>
        <v>848482</v>
      </c>
      <c r="I772" t="str">
        <f t="shared" ref="I772:I835" si="110">MID($H772,1,2)</f>
        <v>84</v>
      </c>
      <c r="J772" t="str">
        <f t="shared" ref="J772:J835" si="111">MID($H772,3,2)</f>
        <v>84</v>
      </c>
      <c r="K772" t="str">
        <f t="shared" ref="K772:K835" si="112">MID($H772,5,2)</f>
        <v>82</v>
      </c>
      <c r="L772">
        <f t="shared" ref="L772:L835" si="113">HEX2DEC(I772)</f>
        <v>132</v>
      </c>
      <c r="M772">
        <f t="shared" ref="M772:M835" si="114">HEX2DEC(J772)</f>
        <v>132</v>
      </c>
      <c r="N772">
        <f t="shared" ref="N772:N835" si="115">HEX2DEC(K772)</f>
        <v>130</v>
      </c>
      <c r="P772" t="str">
        <f t="shared" ref="P772:P835" si="116">"."&amp;G772&amp;$P$1&amp;"{"&amp;$P$2&amp;":#"&amp;H772&amp;";}"</f>
        <v>.OldSilver-bg{background-color:#848482;}</v>
      </c>
    </row>
    <row r="773" spans="2:16" ht="15.75">
      <c r="B773" s="1" t="s">
        <v>1680</v>
      </c>
      <c r="C773" t="s">
        <v>1191</v>
      </c>
      <c r="D773">
        <v>12750</v>
      </c>
      <c r="E773">
        <v>12750</v>
      </c>
      <c r="F773">
        <v>12750</v>
      </c>
      <c r="G773" t="str">
        <f t="shared" si="108"/>
        <v>Olive</v>
      </c>
      <c r="H773" t="str">
        <f t="shared" si="109"/>
        <v>808000</v>
      </c>
      <c r="I773" t="str">
        <f t="shared" si="110"/>
        <v>80</v>
      </c>
      <c r="J773" t="str">
        <f t="shared" si="111"/>
        <v>80</v>
      </c>
      <c r="K773" t="str">
        <f t="shared" si="112"/>
        <v>00</v>
      </c>
      <c r="L773">
        <f t="shared" si="113"/>
        <v>128</v>
      </c>
      <c r="M773">
        <f t="shared" si="114"/>
        <v>128</v>
      </c>
      <c r="N773">
        <f t="shared" si="115"/>
        <v>0</v>
      </c>
      <c r="P773" t="str">
        <f t="shared" si="116"/>
        <v>.Olive-bg{background-color:#808000;}</v>
      </c>
    </row>
    <row r="774" spans="2:16" ht="15.75">
      <c r="B774" s="1" t="s">
        <v>1681</v>
      </c>
      <c r="C774" t="s">
        <v>1682</v>
      </c>
      <c r="D774">
        <v>10710</v>
      </c>
      <c r="E774">
        <v>14280</v>
      </c>
      <c r="F774">
        <v>10710</v>
      </c>
      <c r="G774" t="str">
        <f t="shared" si="108"/>
        <v>OliveDrab3</v>
      </c>
      <c r="H774" t="str">
        <f t="shared" si="109"/>
        <v>6B8E23</v>
      </c>
      <c r="I774" t="str">
        <f t="shared" si="110"/>
        <v>6B</v>
      </c>
      <c r="J774" t="str">
        <f t="shared" si="111"/>
        <v>8E</v>
      </c>
      <c r="K774" t="str">
        <f t="shared" si="112"/>
        <v>23</v>
      </c>
      <c r="L774">
        <f t="shared" si="113"/>
        <v>107</v>
      </c>
      <c r="M774">
        <f t="shared" si="114"/>
        <v>142</v>
      </c>
      <c r="N774">
        <f t="shared" si="115"/>
        <v>35</v>
      </c>
      <c r="P774" t="str">
        <f t="shared" si="116"/>
        <v>.OliveDrab3-bg{background-color:#6B8E23;}</v>
      </c>
    </row>
    <row r="775" spans="2:16" ht="15.75">
      <c r="B775" s="1" t="s">
        <v>1683</v>
      </c>
      <c r="C775" t="s">
        <v>1684</v>
      </c>
      <c r="D775">
        <v>6120</v>
      </c>
      <c r="E775">
        <v>5100</v>
      </c>
      <c r="F775">
        <v>6120</v>
      </c>
      <c r="G775" t="str">
        <f t="shared" si="108"/>
        <v>OliveDrab7</v>
      </c>
      <c r="H775" t="str">
        <f t="shared" si="109"/>
        <v>3C341F</v>
      </c>
      <c r="I775" t="str">
        <f t="shared" si="110"/>
        <v>3C</v>
      </c>
      <c r="J775" t="str">
        <f t="shared" si="111"/>
        <v>34</v>
      </c>
      <c r="K775" t="str">
        <f t="shared" si="112"/>
        <v>1F</v>
      </c>
      <c r="L775">
        <f t="shared" si="113"/>
        <v>60</v>
      </c>
      <c r="M775">
        <f t="shared" si="114"/>
        <v>52</v>
      </c>
      <c r="N775">
        <f t="shared" si="115"/>
        <v>31</v>
      </c>
      <c r="P775" t="str">
        <f t="shared" si="116"/>
        <v>.OliveDrab7-bg{background-color:#3C341F;}</v>
      </c>
    </row>
    <row r="776" spans="2:16" ht="15.75">
      <c r="B776" s="1" t="s">
        <v>1685</v>
      </c>
      <c r="C776" t="s">
        <v>1686</v>
      </c>
      <c r="D776">
        <v>15300</v>
      </c>
      <c r="E776">
        <v>18615</v>
      </c>
      <c r="F776">
        <v>15300</v>
      </c>
      <c r="G776" t="str">
        <f t="shared" si="108"/>
        <v>Olivine</v>
      </c>
      <c r="H776" t="str">
        <f t="shared" si="109"/>
        <v>9AB973</v>
      </c>
      <c r="I776" t="str">
        <f t="shared" si="110"/>
        <v>9A</v>
      </c>
      <c r="J776" t="str">
        <f t="shared" si="111"/>
        <v>B9</v>
      </c>
      <c r="K776" t="str">
        <f t="shared" si="112"/>
        <v>73</v>
      </c>
      <c r="L776">
        <f t="shared" si="113"/>
        <v>154</v>
      </c>
      <c r="M776">
        <f t="shared" si="114"/>
        <v>185</v>
      </c>
      <c r="N776">
        <f t="shared" si="115"/>
        <v>115</v>
      </c>
      <c r="P776" t="str">
        <f t="shared" si="116"/>
        <v>.Olivine-bg{background-color:#9AB973;}</v>
      </c>
    </row>
    <row r="777" spans="2:16" ht="15.75">
      <c r="B777" s="1" t="s">
        <v>1687</v>
      </c>
      <c r="C777" t="s">
        <v>1688</v>
      </c>
      <c r="D777">
        <v>5355</v>
      </c>
      <c r="E777">
        <v>5610</v>
      </c>
      <c r="F777">
        <v>5355</v>
      </c>
      <c r="G777" t="str">
        <f t="shared" si="108"/>
        <v>Onyx</v>
      </c>
      <c r="H777" t="str">
        <f t="shared" si="109"/>
        <v>353839</v>
      </c>
      <c r="I777" t="str">
        <f t="shared" si="110"/>
        <v>35</v>
      </c>
      <c r="J777" t="str">
        <f t="shared" si="111"/>
        <v>38</v>
      </c>
      <c r="K777" t="str">
        <f t="shared" si="112"/>
        <v>39</v>
      </c>
      <c r="L777">
        <f t="shared" si="113"/>
        <v>53</v>
      </c>
      <c r="M777">
        <f t="shared" si="114"/>
        <v>56</v>
      </c>
      <c r="N777">
        <f t="shared" si="115"/>
        <v>57</v>
      </c>
      <c r="P777" t="str">
        <f t="shared" si="116"/>
        <v>.Onyx-bg{background-color:#353839;}</v>
      </c>
    </row>
    <row r="778" spans="2:16" ht="15.75">
      <c r="B778" s="1" t="s">
        <v>1689</v>
      </c>
      <c r="C778" t="s">
        <v>1690</v>
      </c>
      <c r="D778">
        <v>18360</v>
      </c>
      <c r="E778">
        <v>13260</v>
      </c>
      <c r="F778">
        <v>18360</v>
      </c>
      <c r="G778" t="str">
        <f t="shared" si="108"/>
        <v>OperaMauve</v>
      </c>
      <c r="H778" t="str">
        <f t="shared" si="109"/>
        <v>B784A7</v>
      </c>
      <c r="I778" t="str">
        <f t="shared" si="110"/>
        <v>B7</v>
      </c>
      <c r="J778" t="str">
        <f t="shared" si="111"/>
        <v>84</v>
      </c>
      <c r="K778" t="str">
        <f t="shared" si="112"/>
        <v>A7</v>
      </c>
      <c r="L778">
        <f t="shared" si="113"/>
        <v>183</v>
      </c>
      <c r="M778">
        <f t="shared" si="114"/>
        <v>132</v>
      </c>
      <c r="N778">
        <f t="shared" si="115"/>
        <v>167</v>
      </c>
      <c r="P778" t="str">
        <f t="shared" si="116"/>
        <v>.OperaMauve-bg{background-color:#B784A7;}</v>
      </c>
    </row>
    <row r="779" spans="2:16" ht="15.75">
      <c r="B779" s="1" t="s">
        <v>1691</v>
      </c>
      <c r="C779" t="s">
        <v>1692</v>
      </c>
      <c r="D779">
        <v>25500</v>
      </c>
      <c r="E779">
        <v>12750</v>
      </c>
      <c r="F779">
        <v>25500</v>
      </c>
      <c r="G779" t="str">
        <f t="shared" si="108"/>
        <v>OrangeColorWheel</v>
      </c>
      <c r="H779" t="str">
        <f t="shared" si="109"/>
        <v>FF7F00</v>
      </c>
      <c r="I779" t="str">
        <f t="shared" si="110"/>
        <v>FF</v>
      </c>
      <c r="J779" t="str">
        <f t="shared" si="111"/>
        <v>7F</v>
      </c>
      <c r="K779" t="str">
        <f t="shared" si="112"/>
        <v>00</v>
      </c>
      <c r="L779">
        <f t="shared" si="113"/>
        <v>255</v>
      </c>
      <c r="M779">
        <f t="shared" si="114"/>
        <v>127</v>
      </c>
      <c r="N779">
        <f t="shared" si="115"/>
        <v>0</v>
      </c>
      <c r="P779" t="str">
        <f t="shared" si="116"/>
        <v>.OrangeColorWheel-bg{background-color:#FF7F00;}</v>
      </c>
    </row>
    <row r="780" spans="2:16" ht="15.75">
      <c r="B780" s="1" t="s">
        <v>1693</v>
      </c>
      <c r="C780" t="s">
        <v>1694</v>
      </c>
      <c r="D780">
        <v>25500</v>
      </c>
      <c r="E780">
        <v>11730</v>
      </c>
      <c r="F780">
        <v>25500</v>
      </c>
      <c r="G780" t="str">
        <f t="shared" si="108"/>
        <v>OrangeCrayola</v>
      </c>
      <c r="H780" t="str">
        <f t="shared" si="109"/>
        <v>FF7538</v>
      </c>
      <c r="I780" t="str">
        <f t="shared" si="110"/>
        <v>FF</v>
      </c>
      <c r="J780" t="str">
        <f t="shared" si="111"/>
        <v>75</v>
      </c>
      <c r="K780" t="str">
        <f t="shared" si="112"/>
        <v>38</v>
      </c>
      <c r="L780">
        <f t="shared" si="113"/>
        <v>255</v>
      </c>
      <c r="M780">
        <f t="shared" si="114"/>
        <v>117</v>
      </c>
      <c r="N780">
        <f t="shared" si="115"/>
        <v>56</v>
      </c>
      <c r="P780" t="str">
        <f t="shared" si="116"/>
        <v>.OrangeCrayola-bg{background-color:#FF7538;}</v>
      </c>
    </row>
    <row r="781" spans="2:16" ht="15.75">
      <c r="B781" s="1" t="s">
        <v>1695</v>
      </c>
      <c r="C781" t="s">
        <v>1696</v>
      </c>
      <c r="D781">
        <v>25500</v>
      </c>
      <c r="E781">
        <v>8925</v>
      </c>
      <c r="F781">
        <v>25500</v>
      </c>
      <c r="G781" t="str">
        <f t="shared" si="108"/>
        <v>OrangePantone</v>
      </c>
      <c r="H781" t="str">
        <f t="shared" si="109"/>
        <v>FF5800</v>
      </c>
      <c r="I781" t="str">
        <f t="shared" si="110"/>
        <v>FF</v>
      </c>
      <c r="J781" t="str">
        <f t="shared" si="111"/>
        <v>58</v>
      </c>
      <c r="K781" t="str">
        <f t="shared" si="112"/>
        <v>00</v>
      </c>
      <c r="L781">
        <f t="shared" si="113"/>
        <v>255</v>
      </c>
      <c r="M781">
        <f t="shared" si="114"/>
        <v>88</v>
      </c>
      <c r="N781">
        <f t="shared" si="115"/>
        <v>0</v>
      </c>
      <c r="P781" t="str">
        <f t="shared" si="116"/>
        <v>.OrangePantone-bg{background-color:#FF5800;}</v>
      </c>
    </row>
    <row r="782" spans="2:16" ht="15.75">
      <c r="B782" s="1" t="s">
        <v>1697</v>
      </c>
      <c r="C782" t="s">
        <v>1698</v>
      </c>
      <c r="D782">
        <v>24990</v>
      </c>
      <c r="E782">
        <v>15300</v>
      </c>
      <c r="F782">
        <v>24990</v>
      </c>
      <c r="G782" t="str">
        <f t="shared" si="108"/>
        <v>OrangeRyb</v>
      </c>
      <c r="H782" t="str">
        <f t="shared" si="109"/>
        <v>FB9902</v>
      </c>
      <c r="I782" t="str">
        <f t="shared" si="110"/>
        <v>FB</v>
      </c>
      <c r="J782" t="str">
        <f t="shared" si="111"/>
        <v>99</v>
      </c>
      <c r="K782" t="str">
        <f t="shared" si="112"/>
        <v>02</v>
      </c>
      <c r="L782">
        <f t="shared" si="113"/>
        <v>251</v>
      </c>
      <c r="M782">
        <f t="shared" si="114"/>
        <v>153</v>
      </c>
      <c r="N782">
        <f t="shared" si="115"/>
        <v>2</v>
      </c>
      <c r="P782" t="str">
        <f t="shared" si="116"/>
        <v>.OrangeRyb-bg{background-color:#FB9902;}</v>
      </c>
    </row>
    <row r="783" spans="2:16" ht="15.75">
      <c r="B783" s="1" t="s">
        <v>1699</v>
      </c>
      <c r="C783" t="s">
        <v>1700</v>
      </c>
      <c r="D783">
        <v>25500</v>
      </c>
      <c r="E783">
        <v>16575</v>
      </c>
      <c r="F783">
        <v>25500</v>
      </c>
      <c r="G783" t="str">
        <f t="shared" si="108"/>
        <v>OrangeWeb</v>
      </c>
      <c r="H783" t="str">
        <f t="shared" si="109"/>
        <v>FFA500</v>
      </c>
      <c r="I783" t="str">
        <f t="shared" si="110"/>
        <v>FF</v>
      </c>
      <c r="J783" t="str">
        <f t="shared" si="111"/>
        <v>A5</v>
      </c>
      <c r="K783" t="str">
        <f t="shared" si="112"/>
        <v>00</v>
      </c>
      <c r="L783">
        <f t="shared" si="113"/>
        <v>255</v>
      </c>
      <c r="M783">
        <f t="shared" si="114"/>
        <v>165</v>
      </c>
      <c r="N783">
        <f t="shared" si="115"/>
        <v>0</v>
      </c>
      <c r="P783" t="str">
        <f t="shared" si="116"/>
        <v>.OrangeWeb-bg{background-color:#FFA500;}</v>
      </c>
    </row>
    <row r="784" spans="2:16" ht="15.75">
      <c r="B784" s="1" t="s">
        <v>1701</v>
      </c>
      <c r="C784" t="s">
        <v>1702</v>
      </c>
      <c r="D784">
        <v>25500</v>
      </c>
      <c r="E784">
        <v>15810</v>
      </c>
      <c r="F784">
        <v>25500</v>
      </c>
      <c r="G784" t="str">
        <f t="shared" si="108"/>
        <v>OrangePeel</v>
      </c>
      <c r="H784" t="str">
        <f t="shared" si="109"/>
        <v>FF9F00</v>
      </c>
      <c r="I784" t="str">
        <f t="shared" si="110"/>
        <v>FF</v>
      </c>
      <c r="J784" t="str">
        <f t="shared" si="111"/>
        <v>9F</v>
      </c>
      <c r="K784" t="str">
        <f t="shared" si="112"/>
        <v>00</v>
      </c>
      <c r="L784">
        <f t="shared" si="113"/>
        <v>255</v>
      </c>
      <c r="M784">
        <f t="shared" si="114"/>
        <v>159</v>
      </c>
      <c r="N784">
        <f t="shared" si="115"/>
        <v>0</v>
      </c>
      <c r="P784" t="str">
        <f t="shared" si="116"/>
        <v>.OrangePeel-bg{background-color:#FF9F00;}</v>
      </c>
    </row>
    <row r="785" spans="2:16" ht="15.75">
      <c r="B785" s="1" t="s">
        <v>1703</v>
      </c>
      <c r="C785" t="s">
        <v>1704</v>
      </c>
      <c r="D785">
        <v>25500</v>
      </c>
      <c r="E785">
        <v>6885</v>
      </c>
      <c r="F785">
        <v>25500</v>
      </c>
      <c r="G785" t="str">
        <f t="shared" si="108"/>
        <v>Orangered</v>
      </c>
      <c r="H785" t="str">
        <f t="shared" si="109"/>
        <v>FF4500</v>
      </c>
      <c r="I785" t="str">
        <f t="shared" si="110"/>
        <v>FF</v>
      </c>
      <c r="J785" t="str">
        <f t="shared" si="111"/>
        <v>45</v>
      </c>
      <c r="K785" t="str">
        <f t="shared" si="112"/>
        <v>00</v>
      </c>
      <c r="L785">
        <f t="shared" si="113"/>
        <v>255</v>
      </c>
      <c r="M785">
        <f t="shared" si="114"/>
        <v>69</v>
      </c>
      <c r="N785">
        <f t="shared" si="115"/>
        <v>0</v>
      </c>
      <c r="P785" t="str">
        <f t="shared" si="116"/>
        <v>.Orangered-bg{background-color:#FF4500;}</v>
      </c>
    </row>
    <row r="786" spans="2:16" ht="15.75">
      <c r="B786" s="1" t="s">
        <v>1705</v>
      </c>
      <c r="C786" t="s">
        <v>1706</v>
      </c>
      <c r="D786">
        <v>24990</v>
      </c>
      <c r="E786">
        <v>9180</v>
      </c>
      <c r="F786">
        <v>24990</v>
      </c>
      <c r="G786" t="str">
        <f t="shared" si="108"/>
        <v>OrangeSoda</v>
      </c>
      <c r="H786" t="str">
        <f t="shared" si="109"/>
        <v>FA5B3D</v>
      </c>
      <c r="I786" t="str">
        <f t="shared" si="110"/>
        <v>FA</v>
      </c>
      <c r="J786" t="str">
        <f t="shared" si="111"/>
        <v>5B</v>
      </c>
      <c r="K786" t="str">
        <f t="shared" si="112"/>
        <v>3D</v>
      </c>
      <c r="L786">
        <f t="shared" si="113"/>
        <v>250</v>
      </c>
      <c r="M786">
        <f t="shared" si="114"/>
        <v>91</v>
      </c>
      <c r="N786">
        <f t="shared" si="115"/>
        <v>61</v>
      </c>
      <c r="P786" t="str">
        <f t="shared" si="116"/>
        <v>.OrangeSoda-bg{background-color:#FA5B3D;}</v>
      </c>
    </row>
    <row r="787" spans="2:16" ht="15.75">
      <c r="B787" s="1" t="s">
        <v>1707</v>
      </c>
      <c r="C787" t="s">
        <v>1708</v>
      </c>
      <c r="D787">
        <v>24735</v>
      </c>
      <c r="E787">
        <v>21420</v>
      </c>
      <c r="F787">
        <v>24735</v>
      </c>
      <c r="G787" t="str">
        <f t="shared" si="108"/>
        <v>Orangeyellow</v>
      </c>
      <c r="H787" t="str">
        <f t="shared" si="109"/>
        <v>F8D568</v>
      </c>
      <c r="I787" t="str">
        <f t="shared" si="110"/>
        <v>F8</v>
      </c>
      <c r="J787" t="str">
        <f t="shared" si="111"/>
        <v>D5</v>
      </c>
      <c r="K787" t="str">
        <f t="shared" si="112"/>
        <v>68</v>
      </c>
      <c r="L787">
        <f t="shared" si="113"/>
        <v>248</v>
      </c>
      <c r="M787">
        <f t="shared" si="114"/>
        <v>213</v>
      </c>
      <c r="N787">
        <f t="shared" si="115"/>
        <v>104</v>
      </c>
      <c r="P787" t="str">
        <f t="shared" si="116"/>
        <v>.Orangeyellow-bg{background-color:#F8D568;}</v>
      </c>
    </row>
    <row r="788" spans="2:16" ht="15.75">
      <c r="B788" s="1" t="s">
        <v>1709</v>
      </c>
      <c r="C788" t="s">
        <v>1710</v>
      </c>
      <c r="D788">
        <v>21675</v>
      </c>
      <c r="E788">
        <v>11220</v>
      </c>
      <c r="F788">
        <v>21675</v>
      </c>
      <c r="G788" t="str">
        <f t="shared" si="108"/>
        <v>Orchid</v>
      </c>
      <c r="H788" t="str">
        <f t="shared" si="109"/>
        <v>DA70D6</v>
      </c>
      <c r="I788" t="str">
        <f t="shared" si="110"/>
        <v>DA</v>
      </c>
      <c r="J788" t="str">
        <f t="shared" si="111"/>
        <v>70</v>
      </c>
      <c r="K788" t="str">
        <f t="shared" si="112"/>
        <v>D6</v>
      </c>
      <c r="L788">
        <f t="shared" si="113"/>
        <v>218</v>
      </c>
      <c r="M788">
        <f t="shared" si="114"/>
        <v>112</v>
      </c>
      <c r="N788">
        <f t="shared" si="115"/>
        <v>214</v>
      </c>
      <c r="P788" t="str">
        <f t="shared" si="116"/>
        <v>.Orchid-bg{background-color:#DA70D6;}</v>
      </c>
    </row>
    <row r="789" spans="2:16" ht="15.75">
      <c r="B789" s="1" t="s">
        <v>1711</v>
      </c>
      <c r="C789" t="s">
        <v>1712</v>
      </c>
      <c r="D789">
        <v>24225</v>
      </c>
      <c r="E789">
        <v>18870</v>
      </c>
      <c r="F789">
        <v>24225</v>
      </c>
      <c r="G789" t="str">
        <f t="shared" si="108"/>
        <v>OrchidPink</v>
      </c>
      <c r="H789" t="str">
        <f t="shared" si="109"/>
        <v>F2BDCD</v>
      </c>
      <c r="I789" t="str">
        <f t="shared" si="110"/>
        <v>F2</v>
      </c>
      <c r="J789" t="str">
        <f t="shared" si="111"/>
        <v>BD</v>
      </c>
      <c r="K789" t="str">
        <f t="shared" si="112"/>
        <v>CD</v>
      </c>
      <c r="L789">
        <f t="shared" si="113"/>
        <v>242</v>
      </c>
      <c r="M789">
        <f t="shared" si="114"/>
        <v>189</v>
      </c>
      <c r="N789">
        <f t="shared" si="115"/>
        <v>205</v>
      </c>
      <c r="P789" t="str">
        <f t="shared" si="116"/>
        <v>.OrchidPink-bg{background-color:#F2BDCD;}</v>
      </c>
    </row>
    <row r="790" spans="2:16" ht="15.75">
      <c r="B790" s="1" t="s">
        <v>1713</v>
      </c>
      <c r="C790" t="s">
        <v>1714</v>
      </c>
      <c r="D790">
        <v>24990</v>
      </c>
      <c r="E790">
        <v>7905</v>
      </c>
      <c r="F790">
        <v>24990</v>
      </c>
      <c r="G790" t="str">
        <f t="shared" si="108"/>
        <v>OriolesOrange</v>
      </c>
      <c r="H790" t="str">
        <f t="shared" si="109"/>
        <v>FB4F14</v>
      </c>
      <c r="I790" t="str">
        <f t="shared" si="110"/>
        <v>FB</v>
      </c>
      <c r="J790" t="str">
        <f t="shared" si="111"/>
        <v>4F</v>
      </c>
      <c r="K790" t="str">
        <f t="shared" si="112"/>
        <v>14</v>
      </c>
      <c r="L790">
        <f t="shared" si="113"/>
        <v>251</v>
      </c>
      <c r="M790">
        <f t="shared" si="114"/>
        <v>79</v>
      </c>
      <c r="N790">
        <f t="shared" si="115"/>
        <v>20</v>
      </c>
      <c r="P790" t="str">
        <f t="shared" si="116"/>
        <v>.OriolesOrange-bg{background-color:#FB4F14;}</v>
      </c>
    </row>
    <row r="791" spans="2:16" ht="15.75">
      <c r="B791" s="1" t="s">
        <v>1715</v>
      </c>
      <c r="C791" t="s">
        <v>737</v>
      </c>
      <c r="D791">
        <v>10200</v>
      </c>
      <c r="E791">
        <v>6630</v>
      </c>
      <c r="F791">
        <v>10200</v>
      </c>
      <c r="G791" t="str">
        <f t="shared" si="108"/>
        <v>OtterBrown</v>
      </c>
      <c r="H791" t="str">
        <f t="shared" si="109"/>
        <v>654321</v>
      </c>
      <c r="I791" t="str">
        <f t="shared" si="110"/>
        <v>65</v>
      </c>
      <c r="J791" t="str">
        <f t="shared" si="111"/>
        <v>43</v>
      </c>
      <c r="K791" t="str">
        <f t="shared" si="112"/>
        <v>21</v>
      </c>
      <c r="L791">
        <f t="shared" si="113"/>
        <v>101</v>
      </c>
      <c r="M791">
        <f t="shared" si="114"/>
        <v>67</v>
      </c>
      <c r="N791">
        <f t="shared" si="115"/>
        <v>33</v>
      </c>
      <c r="P791" t="str">
        <f t="shared" si="116"/>
        <v>.OtterBrown-bg{background-color:#654321;}</v>
      </c>
    </row>
    <row r="792" spans="2:16" ht="15.75">
      <c r="B792" s="1" t="s">
        <v>1716</v>
      </c>
      <c r="C792" t="s">
        <v>1717</v>
      </c>
      <c r="D792">
        <v>6375</v>
      </c>
      <c r="E792">
        <v>7395</v>
      </c>
      <c r="F792">
        <v>6375</v>
      </c>
      <c r="G792" t="str">
        <f t="shared" si="108"/>
        <v>OuterSpace</v>
      </c>
      <c r="H792" t="str">
        <f t="shared" si="109"/>
        <v>414A4C</v>
      </c>
      <c r="I792" t="str">
        <f t="shared" si="110"/>
        <v>41</v>
      </c>
      <c r="J792" t="str">
        <f t="shared" si="111"/>
        <v>4A</v>
      </c>
      <c r="K792" t="str">
        <f t="shared" si="112"/>
        <v>4C</v>
      </c>
      <c r="L792">
        <f t="shared" si="113"/>
        <v>65</v>
      </c>
      <c r="M792">
        <f t="shared" si="114"/>
        <v>74</v>
      </c>
      <c r="N792">
        <f t="shared" si="115"/>
        <v>76</v>
      </c>
      <c r="P792" t="str">
        <f t="shared" si="116"/>
        <v>.OuterSpace-bg{background-color:#414A4C;}</v>
      </c>
    </row>
    <row r="793" spans="2:16" ht="15.75">
      <c r="B793" s="1" t="s">
        <v>1718</v>
      </c>
      <c r="C793" t="s">
        <v>1719</v>
      </c>
      <c r="D793">
        <v>25500</v>
      </c>
      <c r="E793">
        <v>10965</v>
      </c>
      <c r="F793">
        <v>25500</v>
      </c>
      <c r="G793" t="str">
        <f t="shared" si="108"/>
        <v>OutrageousOrange</v>
      </c>
      <c r="H793" t="str">
        <f t="shared" si="109"/>
        <v>FF6E4A</v>
      </c>
      <c r="I793" t="str">
        <f t="shared" si="110"/>
        <v>FF</v>
      </c>
      <c r="J793" t="str">
        <f t="shared" si="111"/>
        <v>6E</v>
      </c>
      <c r="K793" t="str">
        <f t="shared" si="112"/>
        <v>4A</v>
      </c>
      <c r="L793">
        <f t="shared" si="113"/>
        <v>255</v>
      </c>
      <c r="M793">
        <f t="shared" si="114"/>
        <v>110</v>
      </c>
      <c r="N793">
        <f t="shared" si="115"/>
        <v>74</v>
      </c>
      <c r="P793" t="str">
        <f t="shared" si="116"/>
        <v>.OutrageousOrange-bg{background-color:#FF6E4A;}</v>
      </c>
    </row>
    <row r="794" spans="2:16" ht="15.75">
      <c r="B794" s="1" t="s">
        <v>1720</v>
      </c>
      <c r="C794" t="s">
        <v>1721</v>
      </c>
      <c r="D794">
        <v>0</v>
      </c>
      <c r="E794">
        <v>3315</v>
      </c>
      <c r="F794">
        <v>0</v>
      </c>
      <c r="G794" t="str">
        <f t="shared" si="108"/>
        <v>OxfordBlue</v>
      </c>
      <c r="H794" t="str">
        <f t="shared" si="109"/>
        <v>002147</v>
      </c>
      <c r="I794" t="str">
        <f t="shared" si="110"/>
        <v>00</v>
      </c>
      <c r="J794" t="str">
        <f t="shared" si="111"/>
        <v>21</v>
      </c>
      <c r="K794" t="str">
        <f t="shared" si="112"/>
        <v>47</v>
      </c>
      <c r="L794">
        <f t="shared" si="113"/>
        <v>0</v>
      </c>
      <c r="M794">
        <f t="shared" si="114"/>
        <v>33</v>
      </c>
      <c r="N794">
        <f t="shared" si="115"/>
        <v>71</v>
      </c>
      <c r="P794" t="str">
        <f t="shared" si="116"/>
        <v>.OxfordBlue-bg{background-color:#002147;}</v>
      </c>
    </row>
    <row r="795" spans="2:16" ht="15.75">
      <c r="B795" s="1" t="s">
        <v>1722</v>
      </c>
      <c r="C795" t="s">
        <v>708</v>
      </c>
      <c r="D795">
        <v>15300</v>
      </c>
      <c r="E795">
        <v>0</v>
      </c>
      <c r="F795">
        <v>15300</v>
      </c>
      <c r="G795" t="str">
        <f t="shared" si="108"/>
        <v>OuCrimsonRed</v>
      </c>
      <c r="H795" t="str">
        <f t="shared" si="109"/>
        <v>990000</v>
      </c>
      <c r="I795" t="str">
        <f t="shared" si="110"/>
        <v>99</v>
      </c>
      <c r="J795" t="str">
        <f t="shared" si="111"/>
        <v>00</v>
      </c>
      <c r="K795" t="str">
        <f t="shared" si="112"/>
        <v>00</v>
      </c>
      <c r="L795">
        <f t="shared" si="113"/>
        <v>153</v>
      </c>
      <c r="M795">
        <f t="shared" si="114"/>
        <v>0</v>
      </c>
      <c r="N795">
        <f t="shared" si="115"/>
        <v>0</v>
      </c>
      <c r="P795" t="str">
        <f t="shared" si="116"/>
        <v>.OuCrimsonRed-bg{background-color:#990000;}</v>
      </c>
    </row>
    <row r="796" spans="2:16" ht="15.75">
      <c r="B796" s="1" t="s">
        <v>1723</v>
      </c>
      <c r="C796" t="s">
        <v>1724</v>
      </c>
      <c r="D796">
        <v>2805</v>
      </c>
      <c r="E796">
        <v>16830</v>
      </c>
      <c r="F796">
        <v>2805</v>
      </c>
      <c r="G796" t="str">
        <f t="shared" si="108"/>
        <v>PacificBlue</v>
      </c>
      <c r="H796" t="str">
        <f t="shared" si="109"/>
        <v>1CA9C9</v>
      </c>
      <c r="I796" t="str">
        <f t="shared" si="110"/>
        <v>1C</v>
      </c>
      <c r="J796" t="str">
        <f t="shared" si="111"/>
        <v>A9</v>
      </c>
      <c r="K796" t="str">
        <f t="shared" si="112"/>
        <v>C9</v>
      </c>
      <c r="L796">
        <f t="shared" si="113"/>
        <v>28</v>
      </c>
      <c r="M796">
        <f t="shared" si="114"/>
        <v>169</v>
      </c>
      <c r="N796">
        <f t="shared" si="115"/>
        <v>201</v>
      </c>
      <c r="P796" t="str">
        <f t="shared" si="116"/>
        <v>.PacificBlue-bg{background-color:#1CA9C9;}</v>
      </c>
    </row>
    <row r="797" spans="2:16" ht="15.75">
      <c r="B797" s="1" t="s">
        <v>1725</v>
      </c>
      <c r="C797" t="s">
        <v>1726</v>
      </c>
      <c r="D797">
        <v>0</v>
      </c>
      <c r="E797">
        <v>10200</v>
      </c>
      <c r="F797">
        <v>0</v>
      </c>
      <c r="G797" t="str">
        <f t="shared" si="108"/>
        <v>PakistanGreen</v>
      </c>
      <c r="H797" t="str">
        <f t="shared" si="109"/>
        <v>006600</v>
      </c>
      <c r="I797" t="str">
        <f t="shared" si="110"/>
        <v>00</v>
      </c>
      <c r="J797" t="str">
        <f t="shared" si="111"/>
        <v>66</v>
      </c>
      <c r="K797" t="str">
        <f t="shared" si="112"/>
        <v>00</v>
      </c>
      <c r="L797">
        <f t="shared" si="113"/>
        <v>0</v>
      </c>
      <c r="M797">
        <f t="shared" si="114"/>
        <v>102</v>
      </c>
      <c r="N797">
        <f t="shared" si="115"/>
        <v>0</v>
      </c>
      <c r="P797" t="str">
        <f t="shared" si="116"/>
        <v>.PakistanGreen-bg{background-color:#006600;}</v>
      </c>
    </row>
    <row r="798" spans="2:16" ht="15.75">
      <c r="B798" s="1" t="s">
        <v>1727</v>
      </c>
      <c r="C798" t="s">
        <v>1728</v>
      </c>
      <c r="D798">
        <v>3825</v>
      </c>
      <c r="E798">
        <v>5865</v>
      </c>
      <c r="F798">
        <v>3825</v>
      </c>
      <c r="G798" t="str">
        <f t="shared" si="108"/>
        <v>PalatinateBlue</v>
      </c>
      <c r="H798" t="str">
        <f t="shared" si="109"/>
        <v>273BE2</v>
      </c>
      <c r="I798" t="str">
        <f t="shared" si="110"/>
        <v>27</v>
      </c>
      <c r="J798" t="str">
        <f t="shared" si="111"/>
        <v>3B</v>
      </c>
      <c r="K798" t="str">
        <f t="shared" si="112"/>
        <v>E2</v>
      </c>
      <c r="L798">
        <f t="shared" si="113"/>
        <v>39</v>
      </c>
      <c r="M798">
        <f t="shared" si="114"/>
        <v>59</v>
      </c>
      <c r="N798">
        <f t="shared" si="115"/>
        <v>226</v>
      </c>
      <c r="P798" t="str">
        <f t="shared" si="116"/>
        <v>.PalatinateBlue-bg{background-color:#273BE2;}</v>
      </c>
    </row>
    <row r="799" spans="2:16" ht="15.75">
      <c r="B799" s="1" t="s">
        <v>1729</v>
      </c>
      <c r="C799" t="s">
        <v>1730</v>
      </c>
      <c r="D799">
        <v>10455</v>
      </c>
      <c r="E799">
        <v>4080</v>
      </c>
      <c r="F799">
        <v>10455</v>
      </c>
      <c r="G799" t="str">
        <f t="shared" si="108"/>
        <v>PalatinatePurple</v>
      </c>
      <c r="H799" t="str">
        <f t="shared" si="109"/>
        <v>682860</v>
      </c>
      <c r="I799" t="str">
        <f t="shared" si="110"/>
        <v>68</v>
      </c>
      <c r="J799" t="str">
        <f t="shared" si="111"/>
        <v>28</v>
      </c>
      <c r="K799" t="str">
        <f t="shared" si="112"/>
        <v>60</v>
      </c>
      <c r="L799">
        <f t="shared" si="113"/>
        <v>104</v>
      </c>
      <c r="M799">
        <f t="shared" si="114"/>
        <v>40</v>
      </c>
      <c r="N799">
        <f t="shared" si="115"/>
        <v>96</v>
      </c>
      <c r="P799" t="str">
        <f t="shared" si="116"/>
        <v>.PalatinatePurple-bg{background-color:#682860;}</v>
      </c>
    </row>
    <row r="800" spans="2:16" ht="15.75">
      <c r="B800" s="1" t="s">
        <v>1731</v>
      </c>
      <c r="C800" t="s">
        <v>335</v>
      </c>
      <c r="D800">
        <v>18870</v>
      </c>
      <c r="E800">
        <v>21165</v>
      </c>
      <c r="F800">
        <v>18870</v>
      </c>
      <c r="G800" t="str">
        <f t="shared" si="108"/>
        <v>PaleAqua</v>
      </c>
      <c r="H800" t="str">
        <f t="shared" si="109"/>
        <v>BCD4E6</v>
      </c>
      <c r="I800" t="str">
        <f t="shared" si="110"/>
        <v>BC</v>
      </c>
      <c r="J800" t="str">
        <f t="shared" si="111"/>
        <v>D4</v>
      </c>
      <c r="K800" t="str">
        <f t="shared" si="112"/>
        <v>E6</v>
      </c>
      <c r="L800">
        <f t="shared" si="113"/>
        <v>188</v>
      </c>
      <c r="M800">
        <f t="shared" si="114"/>
        <v>212</v>
      </c>
      <c r="N800">
        <f t="shared" si="115"/>
        <v>230</v>
      </c>
      <c r="P800" t="str">
        <f t="shared" si="116"/>
        <v>.PaleAqua-bg{background-color:#BCD4E6;}</v>
      </c>
    </row>
    <row r="801" spans="2:16" ht="15.75">
      <c r="B801" s="1" t="s">
        <v>1732</v>
      </c>
      <c r="C801" t="s">
        <v>1733</v>
      </c>
      <c r="D801">
        <v>17595</v>
      </c>
      <c r="E801">
        <v>23715</v>
      </c>
      <c r="F801">
        <v>17595</v>
      </c>
      <c r="G801" t="str">
        <f t="shared" si="108"/>
        <v>PaleBlue</v>
      </c>
      <c r="H801" t="str">
        <f t="shared" si="109"/>
        <v>AFEEEE</v>
      </c>
      <c r="I801" t="str">
        <f t="shared" si="110"/>
        <v>AF</v>
      </c>
      <c r="J801" t="str">
        <f t="shared" si="111"/>
        <v>EE</v>
      </c>
      <c r="K801" t="str">
        <f t="shared" si="112"/>
        <v>EE</v>
      </c>
      <c r="L801">
        <f t="shared" si="113"/>
        <v>175</v>
      </c>
      <c r="M801">
        <f t="shared" si="114"/>
        <v>238</v>
      </c>
      <c r="N801">
        <f t="shared" si="115"/>
        <v>238</v>
      </c>
      <c r="P801" t="str">
        <f t="shared" si="116"/>
        <v>.PaleBlue-bg{background-color:#AFEEEE;}</v>
      </c>
    </row>
    <row r="802" spans="2:16" ht="15.75">
      <c r="B802" s="1" t="s">
        <v>1734</v>
      </c>
      <c r="C802" t="s">
        <v>1735</v>
      </c>
      <c r="D802">
        <v>15300</v>
      </c>
      <c r="E802">
        <v>11730</v>
      </c>
      <c r="F802">
        <v>15300</v>
      </c>
      <c r="G802" t="str">
        <f t="shared" si="108"/>
        <v>PaleBrown</v>
      </c>
      <c r="H802" t="str">
        <f t="shared" si="109"/>
        <v>987654</v>
      </c>
      <c r="I802" t="str">
        <f t="shared" si="110"/>
        <v>98</v>
      </c>
      <c r="J802" t="str">
        <f t="shared" si="111"/>
        <v>76</v>
      </c>
      <c r="K802" t="str">
        <f t="shared" si="112"/>
        <v>54</v>
      </c>
      <c r="L802">
        <f t="shared" si="113"/>
        <v>152</v>
      </c>
      <c r="M802">
        <f t="shared" si="114"/>
        <v>118</v>
      </c>
      <c r="N802">
        <f t="shared" si="115"/>
        <v>84</v>
      </c>
      <c r="P802" t="str">
        <f t="shared" si="116"/>
        <v>.PaleBrown-bg{background-color:#987654;}</v>
      </c>
    </row>
    <row r="803" spans="2:16" ht="15.75">
      <c r="B803" s="1" t="s">
        <v>1736</v>
      </c>
      <c r="C803" t="s">
        <v>1524</v>
      </c>
      <c r="D803">
        <v>17595</v>
      </c>
      <c r="E803">
        <v>6375</v>
      </c>
      <c r="F803">
        <v>17595</v>
      </c>
      <c r="G803" t="str">
        <f t="shared" si="108"/>
        <v>PaleCarmine</v>
      </c>
      <c r="H803" t="str">
        <f t="shared" si="109"/>
        <v>AF4035</v>
      </c>
      <c r="I803" t="str">
        <f t="shared" si="110"/>
        <v>AF</v>
      </c>
      <c r="J803" t="str">
        <f t="shared" si="111"/>
        <v>40</v>
      </c>
      <c r="K803" t="str">
        <f t="shared" si="112"/>
        <v>35</v>
      </c>
      <c r="L803">
        <f t="shared" si="113"/>
        <v>175</v>
      </c>
      <c r="M803">
        <f t="shared" si="114"/>
        <v>64</v>
      </c>
      <c r="N803">
        <f t="shared" si="115"/>
        <v>53</v>
      </c>
      <c r="P803" t="str">
        <f t="shared" si="116"/>
        <v>.PaleCarmine-bg{background-color:#AF4035;}</v>
      </c>
    </row>
    <row r="804" spans="2:16" ht="15.75">
      <c r="B804" s="1" t="s">
        <v>1737</v>
      </c>
      <c r="C804" t="s">
        <v>1738</v>
      </c>
      <c r="D804">
        <v>15555</v>
      </c>
      <c r="E804">
        <v>19635</v>
      </c>
      <c r="F804">
        <v>15555</v>
      </c>
      <c r="G804" t="str">
        <f t="shared" si="108"/>
        <v>PaleCerulean</v>
      </c>
      <c r="H804" t="str">
        <f t="shared" si="109"/>
        <v>9BC4E2</v>
      </c>
      <c r="I804" t="str">
        <f t="shared" si="110"/>
        <v>9B</v>
      </c>
      <c r="J804" t="str">
        <f t="shared" si="111"/>
        <v>C4</v>
      </c>
      <c r="K804" t="str">
        <f t="shared" si="112"/>
        <v>E2</v>
      </c>
      <c r="L804">
        <f t="shared" si="113"/>
        <v>155</v>
      </c>
      <c r="M804">
        <f t="shared" si="114"/>
        <v>196</v>
      </c>
      <c r="N804">
        <f t="shared" si="115"/>
        <v>226</v>
      </c>
      <c r="P804" t="str">
        <f t="shared" si="116"/>
        <v>.PaleCerulean-bg{background-color:#9BC4E2;}</v>
      </c>
    </row>
    <row r="805" spans="2:16" ht="15.75">
      <c r="B805" s="1" t="s">
        <v>1739</v>
      </c>
      <c r="C805" t="s">
        <v>1740</v>
      </c>
      <c r="D805">
        <v>22185</v>
      </c>
      <c r="E805">
        <v>17340</v>
      </c>
      <c r="F805">
        <v>22185</v>
      </c>
      <c r="G805" t="str">
        <f t="shared" si="108"/>
        <v>PaleChestnut</v>
      </c>
      <c r="H805" t="str">
        <f t="shared" si="109"/>
        <v>DDADAF</v>
      </c>
      <c r="I805" t="str">
        <f t="shared" si="110"/>
        <v>DD</v>
      </c>
      <c r="J805" t="str">
        <f t="shared" si="111"/>
        <v>AD</v>
      </c>
      <c r="K805" t="str">
        <f t="shared" si="112"/>
        <v>AF</v>
      </c>
      <c r="L805">
        <f t="shared" si="113"/>
        <v>221</v>
      </c>
      <c r="M805">
        <f t="shared" si="114"/>
        <v>173</v>
      </c>
      <c r="N805">
        <f t="shared" si="115"/>
        <v>175</v>
      </c>
      <c r="P805" t="str">
        <f t="shared" si="116"/>
        <v>.PaleChestnut-bg{background-color:#DDADAF;}</v>
      </c>
    </row>
    <row r="806" spans="2:16" ht="15.75">
      <c r="B806" s="1" t="s">
        <v>1741</v>
      </c>
      <c r="C806" t="s">
        <v>670</v>
      </c>
      <c r="D806">
        <v>21675</v>
      </c>
      <c r="E806">
        <v>13770</v>
      </c>
      <c r="F806">
        <v>21675</v>
      </c>
      <c r="G806" t="str">
        <f t="shared" si="108"/>
        <v>PaleCopper</v>
      </c>
      <c r="H806" t="str">
        <f t="shared" si="109"/>
        <v>DA8A67</v>
      </c>
      <c r="I806" t="str">
        <f t="shared" si="110"/>
        <v>DA</v>
      </c>
      <c r="J806" t="str">
        <f t="shared" si="111"/>
        <v>8A</v>
      </c>
      <c r="K806" t="str">
        <f t="shared" si="112"/>
        <v>67</v>
      </c>
      <c r="L806">
        <f t="shared" si="113"/>
        <v>218</v>
      </c>
      <c r="M806">
        <f t="shared" si="114"/>
        <v>138</v>
      </c>
      <c r="N806">
        <f t="shared" si="115"/>
        <v>103</v>
      </c>
      <c r="P806" t="str">
        <f t="shared" si="116"/>
        <v>.PaleCopper-bg{background-color:#DA8A67;}</v>
      </c>
    </row>
    <row r="807" spans="2:16" ht="15.75">
      <c r="B807" s="1" t="s">
        <v>1742</v>
      </c>
      <c r="C807" t="s">
        <v>1743</v>
      </c>
      <c r="D807">
        <v>17085</v>
      </c>
      <c r="E807">
        <v>20400</v>
      </c>
      <c r="F807">
        <v>17085</v>
      </c>
      <c r="G807" t="str">
        <f t="shared" si="108"/>
        <v>PaleCornflowerBlue</v>
      </c>
      <c r="H807" t="str">
        <f t="shared" si="109"/>
        <v>ABCDEF</v>
      </c>
      <c r="I807" t="str">
        <f t="shared" si="110"/>
        <v>AB</v>
      </c>
      <c r="J807" t="str">
        <f t="shared" si="111"/>
        <v>CD</v>
      </c>
      <c r="K807" t="str">
        <f t="shared" si="112"/>
        <v>EF</v>
      </c>
      <c r="L807">
        <f t="shared" si="113"/>
        <v>171</v>
      </c>
      <c r="M807">
        <f t="shared" si="114"/>
        <v>205</v>
      </c>
      <c r="N807">
        <f t="shared" si="115"/>
        <v>239</v>
      </c>
      <c r="P807" t="str">
        <f t="shared" si="116"/>
        <v>.PaleCornflowerBlue-bg{background-color:#ABCDEF;}</v>
      </c>
    </row>
    <row r="808" spans="2:16" ht="15.75">
      <c r="B808" s="1" t="s">
        <v>1744</v>
      </c>
      <c r="C808" t="s">
        <v>1745</v>
      </c>
      <c r="D808">
        <v>13515</v>
      </c>
      <c r="E808">
        <v>21165</v>
      </c>
      <c r="F808">
        <v>13515</v>
      </c>
      <c r="G808" t="str">
        <f t="shared" si="108"/>
        <v>PaleCyan</v>
      </c>
      <c r="H808" t="str">
        <f t="shared" si="109"/>
        <v>87D3F8</v>
      </c>
      <c r="I808" t="str">
        <f t="shared" si="110"/>
        <v>87</v>
      </c>
      <c r="J808" t="str">
        <f t="shared" si="111"/>
        <v>D3</v>
      </c>
      <c r="K808" t="str">
        <f t="shared" si="112"/>
        <v>F8</v>
      </c>
      <c r="L808">
        <f t="shared" si="113"/>
        <v>135</v>
      </c>
      <c r="M808">
        <f t="shared" si="114"/>
        <v>211</v>
      </c>
      <c r="N808">
        <f t="shared" si="115"/>
        <v>248</v>
      </c>
      <c r="P808" t="str">
        <f t="shared" si="116"/>
        <v>.PaleCyan-bg{background-color:#87D3F8;}</v>
      </c>
    </row>
    <row r="809" spans="2:16" ht="15.75">
      <c r="B809" s="1" t="s">
        <v>1746</v>
      </c>
      <c r="C809" t="s">
        <v>1747</v>
      </c>
      <c r="D809">
        <v>22950</v>
      </c>
      <c r="E809">
        <v>19125</v>
      </c>
      <c r="F809">
        <v>22950</v>
      </c>
      <c r="G809" t="str">
        <f t="shared" si="108"/>
        <v>PaleGold</v>
      </c>
      <c r="H809" t="str">
        <f t="shared" si="109"/>
        <v>E6BE8A</v>
      </c>
      <c r="I809" t="str">
        <f t="shared" si="110"/>
        <v>E6</v>
      </c>
      <c r="J809" t="str">
        <f t="shared" si="111"/>
        <v>BE</v>
      </c>
      <c r="K809" t="str">
        <f t="shared" si="112"/>
        <v>8A</v>
      </c>
      <c r="L809">
        <f t="shared" si="113"/>
        <v>230</v>
      </c>
      <c r="M809">
        <f t="shared" si="114"/>
        <v>190</v>
      </c>
      <c r="N809">
        <f t="shared" si="115"/>
        <v>138</v>
      </c>
      <c r="P809" t="str">
        <f t="shared" si="116"/>
        <v>.PaleGold-bg{background-color:#E6BE8A;}</v>
      </c>
    </row>
    <row r="810" spans="2:16" ht="15.75">
      <c r="B810" s="1" t="s">
        <v>1748</v>
      </c>
      <c r="C810" t="s">
        <v>1749</v>
      </c>
      <c r="D810">
        <v>23715</v>
      </c>
      <c r="E810">
        <v>23205</v>
      </c>
      <c r="F810">
        <v>23715</v>
      </c>
      <c r="G810" t="str">
        <f t="shared" si="108"/>
        <v>PaleGoldenrod</v>
      </c>
      <c r="H810" t="str">
        <f t="shared" si="109"/>
        <v>EEE8AA</v>
      </c>
      <c r="I810" t="str">
        <f t="shared" si="110"/>
        <v>EE</v>
      </c>
      <c r="J810" t="str">
        <f t="shared" si="111"/>
        <v>E8</v>
      </c>
      <c r="K810" t="str">
        <f t="shared" si="112"/>
        <v>AA</v>
      </c>
      <c r="L810">
        <f t="shared" si="113"/>
        <v>238</v>
      </c>
      <c r="M810">
        <f t="shared" si="114"/>
        <v>232</v>
      </c>
      <c r="N810">
        <f t="shared" si="115"/>
        <v>170</v>
      </c>
      <c r="P810" t="str">
        <f t="shared" si="116"/>
        <v>.PaleGoldenrod-bg{background-color:#EEE8AA;}</v>
      </c>
    </row>
    <row r="811" spans="2:16" ht="15.75">
      <c r="B811" s="1" t="s">
        <v>1750</v>
      </c>
      <c r="C811" t="s">
        <v>1751</v>
      </c>
      <c r="D811">
        <v>15300</v>
      </c>
      <c r="E811">
        <v>24990</v>
      </c>
      <c r="F811">
        <v>15300</v>
      </c>
      <c r="G811" t="str">
        <f t="shared" si="108"/>
        <v>PaleGreen</v>
      </c>
      <c r="H811" t="str">
        <f t="shared" si="109"/>
        <v>98FB98</v>
      </c>
      <c r="I811" t="str">
        <f t="shared" si="110"/>
        <v>98</v>
      </c>
      <c r="J811" t="str">
        <f t="shared" si="111"/>
        <v>FB</v>
      </c>
      <c r="K811" t="str">
        <f t="shared" si="112"/>
        <v>98</v>
      </c>
      <c r="L811">
        <f t="shared" si="113"/>
        <v>152</v>
      </c>
      <c r="M811">
        <f t="shared" si="114"/>
        <v>251</v>
      </c>
      <c r="N811">
        <f t="shared" si="115"/>
        <v>152</v>
      </c>
      <c r="P811" t="str">
        <f t="shared" si="116"/>
        <v>.PaleGreen-bg{background-color:#98FB98;}</v>
      </c>
    </row>
    <row r="812" spans="2:16" ht="15.75">
      <c r="B812" s="1" t="s">
        <v>1752</v>
      </c>
      <c r="C812" t="s">
        <v>1753</v>
      </c>
      <c r="D812">
        <v>21930</v>
      </c>
      <c r="E812">
        <v>20910</v>
      </c>
      <c r="F812">
        <v>21930</v>
      </c>
      <c r="G812" t="str">
        <f t="shared" si="108"/>
        <v>PaleLavender</v>
      </c>
      <c r="H812" t="str">
        <f t="shared" si="109"/>
        <v>DCD0FF</v>
      </c>
      <c r="I812" t="str">
        <f t="shared" si="110"/>
        <v>DC</v>
      </c>
      <c r="J812" t="str">
        <f t="shared" si="111"/>
        <v>D0</v>
      </c>
      <c r="K812" t="str">
        <f t="shared" si="112"/>
        <v>FF</v>
      </c>
      <c r="L812">
        <f t="shared" si="113"/>
        <v>220</v>
      </c>
      <c r="M812">
        <f t="shared" si="114"/>
        <v>208</v>
      </c>
      <c r="N812">
        <f t="shared" si="115"/>
        <v>255</v>
      </c>
      <c r="P812" t="str">
        <f t="shared" si="116"/>
        <v>.PaleLavender-bg{background-color:#DCD0FF;}</v>
      </c>
    </row>
    <row r="813" spans="2:16" ht="15.75">
      <c r="B813" s="1" t="s">
        <v>1754</v>
      </c>
      <c r="C813" t="s">
        <v>1755</v>
      </c>
      <c r="D813">
        <v>24990</v>
      </c>
      <c r="E813">
        <v>13260</v>
      </c>
      <c r="F813">
        <v>24990</v>
      </c>
      <c r="G813" t="str">
        <f t="shared" si="108"/>
        <v>PaleMagenta</v>
      </c>
      <c r="H813" t="str">
        <f t="shared" si="109"/>
        <v>F984E5</v>
      </c>
      <c r="I813" t="str">
        <f t="shared" si="110"/>
        <v>F9</v>
      </c>
      <c r="J813" t="str">
        <f t="shared" si="111"/>
        <v>84</v>
      </c>
      <c r="K813" t="str">
        <f t="shared" si="112"/>
        <v>E5</v>
      </c>
      <c r="L813">
        <f t="shared" si="113"/>
        <v>249</v>
      </c>
      <c r="M813">
        <f t="shared" si="114"/>
        <v>132</v>
      </c>
      <c r="N813">
        <f t="shared" si="115"/>
        <v>229</v>
      </c>
      <c r="P813" t="str">
        <f t="shared" si="116"/>
        <v>.PaleMagenta-bg{background-color:#F984E5;}</v>
      </c>
    </row>
    <row r="814" spans="2:16" ht="15.75">
      <c r="B814" s="1" t="s">
        <v>1756</v>
      </c>
      <c r="C814" t="s">
        <v>1757</v>
      </c>
      <c r="D814">
        <v>25500</v>
      </c>
      <c r="E814">
        <v>15300</v>
      </c>
      <c r="F814">
        <v>25500</v>
      </c>
      <c r="G814" t="str">
        <f t="shared" si="108"/>
        <v>PaleMagentapink</v>
      </c>
      <c r="H814" t="str">
        <f t="shared" si="109"/>
        <v>FF99CC</v>
      </c>
      <c r="I814" t="str">
        <f t="shared" si="110"/>
        <v>FF</v>
      </c>
      <c r="J814" t="str">
        <f t="shared" si="111"/>
        <v>99</v>
      </c>
      <c r="K814" t="str">
        <f t="shared" si="112"/>
        <v>CC</v>
      </c>
      <c r="L814">
        <f t="shared" si="113"/>
        <v>255</v>
      </c>
      <c r="M814">
        <f t="shared" si="114"/>
        <v>153</v>
      </c>
      <c r="N814">
        <f t="shared" si="115"/>
        <v>204</v>
      </c>
      <c r="P814" t="str">
        <f t="shared" si="116"/>
        <v>.PaleMagentapink-bg{background-color:#FF99CC;}</v>
      </c>
    </row>
    <row r="815" spans="2:16" ht="15.75">
      <c r="B815" s="1" t="s">
        <v>1758</v>
      </c>
      <c r="C815" t="s">
        <v>1759</v>
      </c>
      <c r="D815">
        <v>24990</v>
      </c>
      <c r="E815">
        <v>21675</v>
      </c>
      <c r="F815">
        <v>24990</v>
      </c>
      <c r="G815" t="str">
        <f t="shared" si="108"/>
        <v>PalePink</v>
      </c>
      <c r="H815" t="str">
        <f t="shared" si="109"/>
        <v>FADADD</v>
      </c>
      <c r="I815" t="str">
        <f t="shared" si="110"/>
        <v>FA</v>
      </c>
      <c r="J815" t="str">
        <f t="shared" si="111"/>
        <v>DA</v>
      </c>
      <c r="K815" t="str">
        <f t="shared" si="112"/>
        <v>DD</v>
      </c>
      <c r="L815">
        <f t="shared" si="113"/>
        <v>250</v>
      </c>
      <c r="M815">
        <f t="shared" si="114"/>
        <v>218</v>
      </c>
      <c r="N815">
        <f t="shared" si="115"/>
        <v>221</v>
      </c>
      <c r="P815" t="str">
        <f t="shared" si="116"/>
        <v>.PalePink-bg{background-color:#FADADD;}</v>
      </c>
    </row>
    <row r="816" spans="2:16" ht="15.75">
      <c r="B816" s="1" t="s">
        <v>1760</v>
      </c>
      <c r="C816" t="s">
        <v>1532</v>
      </c>
      <c r="D816">
        <v>22185</v>
      </c>
      <c r="E816">
        <v>16065</v>
      </c>
      <c r="F816">
        <v>22185</v>
      </c>
      <c r="G816" t="str">
        <f t="shared" si="108"/>
        <v>PalePlum</v>
      </c>
      <c r="H816" t="str">
        <f t="shared" si="109"/>
        <v>DDA0DD</v>
      </c>
      <c r="I816" t="str">
        <f t="shared" si="110"/>
        <v>DD</v>
      </c>
      <c r="J816" t="str">
        <f t="shared" si="111"/>
        <v>A0</v>
      </c>
      <c r="K816" t="str">
        <f t="shared" si="112"/>
        <v>DD</v>
      </c>
      <c r="L816">
        <f t="shared" si="113"/>
        <v>221</v>
      </c>
      <c r="M816">
        <f t="shared" si="114"/>
        <v>160</v>
      </c>
      <c r="N816">
        <f t="shared" si="115"/>
        <v>221</v>
      </c>
      <c r="P816" t="str">
        <f t="shared" si="116"/>
        <v>.PalePlum-bg{background-color:#DDA0DD;}</v>
      </c>
    </row>
    <row r="817" spans="2:16" ht="15.75">
      <c r="B817" s="1" t="s">
        <v>1761</v>
      </c>
      <c r="C817" t="s">
        <v>1762</v>
      </c>
      <c r="D817">
        <v>21930</v>
      </c>
      <c r="E817">
        <v>11220</v>
      </c>
      <c r="F817">
        <v>21930</v>
      </c>
      <c r="G817" t="str">
        <f t="shared" si="108"/>
        <v>PaleRedviolet</v>
      </c>
      <c r="H817" t="str">
        <f t="shared" si="109"/>
        <v>DB7093</v>
      </c>
      <c r="I817" t="str">
        <f t="shared" si="110"/>
        <v>DB</v>
      </c>
      <c r="J817" t="str">
        <f t="shared" si="111"/>
        <v>70</v>
      </c>
      <c r="K817" t="str">
        <f t="shared" si="112"/>
        <v>93</v>
      </c>
      <c r="L817">
        <f t="shared" si="113"/>
        <v>219</v>
      </c>
      <c r="M817">
        <f t="shared" si="114"/>
        <v>112</v>
      </c>
      <c r="N817">
        <f t="shared" si="115"/>
        <v>147</v>
      </c>
      <c r="P817" t="str">
        <f t="shared" si="116"/>
        <v>.PaleRedviolet-bg{background-color:#DB7093;}</v>
      </c>
    </row>
    <row r="818" spans="2:16" ht="15.75">
      <c r="B818" s="1" t="s">
        <v>1763</v>
      </c>
      <c r="C818" t="s">
        <v>1764</v>
      </c>
      <c r="D818">
        <v>15045</v>
      </c>
      <c r="E818">
        <v>22185</v>
      </c>
      <c r="F818">
        <v>15045</v>
      </c>
      <c r="G818" t="str">
        <f t="shared" si="108"/>
        <v>PaleRobinEggBlue</v>
      </c>
      <c r="H818" t="str">
        <f t="shared" si="109"/>
        <v>96DED1</v>
      </c>
      <c r="I818" t="str">
        <f t="shared" si="110"/>
        <v>96</v>
      </c>
      <c r="J818" t="str">
        <f t="shared" si="111"/>
        <v>DE</v>
      </c>
      <c r="K818" t="str">
        <f t="shared" si="112"/>
        <v>D1</v>
      </c>
      <c r="L818">
        <f t="shared" si="113"/>
        <v>150</v>
      </c>
      <c r="M818">
        <f t="shared" si="114"/>
        <v>222</v>
      </c>
      <c r="N818">
        <f t="shared" si="115"/>
        <v>209</v>
      </c>
      <c r="P818" t="str">
        <f t="shared" si="116"/>
        <v>.PaleRobinEggBlue-bg{background-color:#96DED1;}</v>
      </c>
    </row>
    <row r="819" spans="2:16" ht="15.75">
      <c r="B819" s="1" t="s">
        <v>1765</v>
      </c>
      <c r="C819" t="s">
        <v>1766</v>
      </c>
      <c r="D819">
        <v>20145</v>
      </c>
      <c r="E819">
        <v>19125</v>
      </c>
      <c r="F819">
        <v>20145</v>
      </c>
      <c r="G819" t="str">
        <f t="shared" si="108"/>
        <v>PaleSilver</v>
      </c>
      <c r="H819" t="str">
        <f t="shared" si="109"/>
        <v>C9C0BB</v>
      </c>
      <c r="I819" t="str">
        <f t="shared" si="110"/>
        <v>C9</v>
      </c>
      <c r="J819" t="str">
        <f t="shared" si="111"/>
        <v>C0</v>
      </c>
      <c r="K819" t="str">
        <f t="shared" si="112"/>
        <v>BB</v>
      </c>
      <c r="L819">
        <f t="shared" si="113"/>
        <v>201</v>
      </c>
      <c r="M819">
        <f t="shared" si="114"/>
        <v>192</v>
      </c>
      <c r="N819">
        <f t="shared" si="115"/>
        <v>187</v>
      </c>
      <c r="P819" t="str">
        <f t="shared" si="116"/>
        <v>.PaleSilver-bg{background-color:#C9C0BB;}</v>
      </c>
    </row>
    <row r="820" spans="2:16" ht="15.75">
      <c r="B820" s="1" t="s">
        <v>1767</v>
      </c>
      <c r="C820" t="s">
        <v>1768</v>
      </c>
      <c r="D820">
        <v>23715</v>
      </c>
      <c r="E820">
        <v>23460</v>
      </c>
      <c r="F820">
        <v>23715</v>
      </c>
      <c r="G820" t="str">
        <f t="shared" si="108"/>
        <v>PaleSpringBud</v>
      </c>
      <c r="H820" t="str">
        <f t="shared" si="109"/>
        <v>ECEBBD</v>
      </c>
      <c r="I820" t="str">
        <f t="shared" si="110"/>
        <v>EC</v>
      </c>
      <c r="J820" t="str">
        <f t="shared" si="111"/>
        <v>EB</v>
      </c>
      <c r="K820" t="str">
        <f t="shared" si="112"/>
        <v>BD</v>
      </c>
      <c r="L820">
        <f t="shared" si="113"/>
        <v>236</v>
      </c>
      <c r="M820">
        <f t="shared" si="114"/>
        <v>235</v>
      </c>
      <c r="N820">
        <f t="shared" si="115"/>
        <v>189</v>
      </c>
      <c r="P820" t="str">
        <f t="shared" si="116"/>
        <v>.PaleSpringBud-bg{background-color:#ECEBBD;}</v>
      </c>
    </row>
    <row r="821" spans="2:16" ht="15.75">
      <c r="B821" s="1" t="s">
        <v>1769</v>
      </c>
      <c r="C821" t="s">
        <v>1770</v>
      </c>
      <c r="D821">
        <v>18870</v>
      </c>
      <c r="E821">
        <v>15300</v>
      </c>
      <c r="F821">
        <v>18870</v>
      </c>
      <c r="G821" t="str">
        <f t="shared" si="108"/>
        <v>PaleTaupe</v>
      </c>
      <c r="H821" t="str">
        <f t="shared" si="109"/>
        <v>BC987E</v>
      </c>
      <c r="I821" t="str">
        <f t="shared" si="110"/>
        <v>BC</v>
      </c>
      <c r="J821" t="str">
        <f t="shared" si="111"/>
        <v>98</v>
      </c>
      <c r="K821" t="str">
        <f t="shared" si="112"/>
        <v>7E</v>
      </c>
      <c r="L821">
        <f t="shared" si="113"/>
        <v>188</v>
      </c>
      <c r="M821">
        <f t="shared" si="114"/>
        <v>152</v>
      </c>
      <c r="N821">
        <f t="shared" si="115"/>
        <v>126</v>
      </c>
      <c r="P821" t="str">
        <f t="shared" si="116"/>
        <v>.PaleTaupe-bg{background-color:#BC987E;}</v>
      </c>
    </row>
    <row r="822" spans="2:16" ht="15.75">
      <c r="B822" s="1" t="s">
        <v>1771</v>
      </c>
      <c r="C822" t="s">
        <v>1733</v>
      </c>
      <c r="D822">
        <v>17595</v>
      </c>
      <c r="E822">
        <v>23715</v>
      </c>
      <c r="F822">
        <v>17595</v>
      </c>
      <c r="G822" t="str">
        <f t="shared" si="108"/>
        <v>PaleTurquoise</v>
      </c>
      <c r="H822" t="str">
        <f t="shared" si="109"/>
        <v>AFEEEE</v>
      </c>
      <c r="I822" t="str">
        <f t="shared" si="110"/>
        <v>AF</v>
      </c>
      <c r="J822" t="str">
        <f t="shared" si="111"/>
        <v>EE</v>
      </c>
      <c r="K822" t="str">
        <f t="shared" si="112"/>
        <v>EE</v>
      </c>
      <c r="L822">
        <f t="shared" si="113"/>
        <v>175</v>
      </c>
      <c r="M822">
        <f t="shared" si="114"/>
        <v>238</v>
      </c>
      <c r="N822">
        <f t="shared" si="115"/>
        <v>238</v>
      </c>
      <c r="P822" t="str">
        <f t="shared" si="116"/>
        <v>.PaleTurquoise-bg{background-color:#AFEEEE;}</v>
      </c>
    </row>
    <row r="823" spans="2:16" ht="15.75">
      <c r="B823" s="1" t="s">
        <v>1772</v>
      </c>
      <c r="C823" t="s">
        <v>1773</v>
      </c>
      <c r="D823">
        <v>20400</v>
      </c>
      <c r="E823">
        <v>15300</v>
      </c>
      <c r="F823">
        <v>20400</v>
      </c>
      <c r="G823" t="str">
        <f t="shared" si="108"/>
        <v>PaleViolet</v>
      </c>
      <c r="H823" t="str">
        <f t="shared" si="109"/>
        <v>CC99FF</v>
      </c>
      <c r="I823" t="str">
        <f t="shared" si="110"/>
        <v>CC</v>
      </c>
      <c r="J823" t="str">
        <f t="shared" si="111"/>
        <v>99</v>
      </c>
      <c r="K823" t="str">
        <f t="shared" si="112"/>
        <v>FF</v>
      </c>
      <c r="L823">
        <f t="shared" si="113"/>
        <v>204</v>
      </c>
      <c r="M823">
        <f t="shared" si="114"/>
        <v>153</v>
      </c>
      <c r="N823">
        <f t="shared" si="115"/>
        <v>255</v>
      </c>
      <c r="P823" t="str">
        <f t="shared" si="116"/>
        <v>.PaleViolet-bg{background-color:#CC99FF;}</v>
      </c>
    </row>
    <row r="824" spans="2:16" ht="15.75">
      <c r="B824" s="1" t="s">
        <v>1774</v>
      </c>
      <c r="C824" t="s">
        <v>1762</v>
      </c>
      <c r="D824">
        <v>21930</v>
      </c>
      <c r="E824">
        <v>11220</v>
      </c>
      <c r="F824">
        <v>21930</v>
      </c>
      <c r="G824" t="str">
        <f t="shared" si="108"/>
        <v>PaleVioletred</v>
      </c>
      <c r="H824" t="str">
        <f t="shared" si="109"/>
        <v>DB7093</v>
      </c>
      <c r="I824" t="str">
        <f t="shared" si="110"/>
        <v>DB</v>
      </c>
      <c r="J824" t="str">
        <f t="shared" si="111"/>
        <v>70</v>
      </c>
      <c r="K824" t="str">
        <f t="shared" si="112"/>
        <v>93</v>
      </c>
      <c r="L824">
        <f t="shared" si="113"/>
        <v>219</v>
      </c>
      <c r="M824">
        <f t="shared" si="114"/>
        <v>112</v>
      </c>
      <c r="N824">
        <f t="shared" si="115"/>
        <v>147</v>
      </c>
      <c r="P824" t="str">
        <f t="shared" si="116"/>
        <v>.PaleVioletred-bg{background-color:#DB7093;}</v>
      </c>
    </row>
    <row r="825" spans="2:16" ht="15.75">
      <c r="B825" s="1" t="s">
        <v>1775</v>
      </c>
      <c r="C825" t="s">
        <v>1776</v>
      </c>
      <c r="D825">
        <v>11985</v>
      </c>
      <c r="E825">
        <v>2295</v>
      </c>
      <c r="F825">
        <v>11985</v>
      </c>
      <c r="G825" t="str">
        <f t="shared" si="108"/>
        <v>PansyPurple</v>
      </c>
      <c r="H825" t="str">
        <f t="shared" si="109"/>
        <v>78184A</v>
      </c>
      <c r="I825" t="str">
        <f t="shared" si="110"/>
        <v>78</v>
      </c>
      <c r="J825" t="str">
        <f t="shared" si="111"/>
        <v>18</v>
      </c>
      <c r="K825" t="str">
        <f t="shared" si="112"/>
        <v>4A</v>
      </c>
      <c r="L825">
        <f t="shared" si="113"/>
        <v>120</v>
      </c>
      <c r="M825">
        <f t="shared" si="114"/>
        <v>24</v>
      </c>
      <c r="N825">
        <f t="shared" si="115"/>
        <v>74</v>
      </c>
      <c r="P825" t="str">
        <f t="shared" si="116"/>
        <v>.PansyPurple-bg{background-color:#78184A;}</v>
      </c>
    </row>
    <row r="826" spans="2:16" ht="15.75">
      <c r="B826" s="1" t="s">
        <v>1777</v>
      </c>
      <c r="C826" t="s">
        <v>1778</v>
      </c>
      <c r="D826">
        <v>0</v>
      </c>
      <c r="E826">
        <v>15555</v>
      </c>
      <c r="F826">
        <v>0</v>
      </c>
      <c r="G826" t="str">
        <f t="shared" si="108"/>
        <v>PaoloVeroneseGreen</v>
      </c>
      <c r="H826" t="str">
        <f t="shared" si="109"/>
        <v>009B7D</v>
      </c>
      <c r="I826" t="str">
        <f t="shared" si="110"/>
        <v>00</v>
      </c>
      <c r="J826" t="str">
        <f t="shared" si="111"/>
        <v>9B</v>
      </c>
      <c r="K826" t="str">
        <f t="shared" si="112"/>
        <v>7D</v>
      </c>
      <c r="L826">
        <f t="shared" si="113"/>
        <v>0</v>
      </c>
      <c r="M826">
        <f t="shared" si="114"/>
        <v>155</v>
      </c>
      <c r="N826">
        <f t="shared" si="115"/>
        <v>125</v>
      </c>
      <c r="P826" t="str">
        <f t="shared" si="116"/>
        <v>.PaoloVeroneseGreen-bg{background-color:#009B7D;}</v>
      </c>
    </row>
    <row r="827" spans="2:16" ht="15.75">
      <c r="B827" s="1" t="s">
        <v>1779</v>
      </c>
      <c r="C827" t="s">
        <v>1780</v>
      </c>
      <c r="D827">
        <v>25500</v>
      </c>
      <c r="E827">
        <v>23970</v>
      </c>
      <c r="F827">
        <v>25500</v>
      </c>
      <c r="G827" t="str">
        <f t="shared" si="108"/>
        <v>PapayaWhip</v>
      </c>
      <c r="H827" t="str">
        <f t="shared" si="109"/>
        <v>FFEFD5</v>
      </c>
      <c r="I827" t="str">
        <f t="shared" si="110"/>
        <v>FF</v>
      </c>
      <c r="J827" t="str">
        <f t="shared" si="111"/>
        <v>EF</v>
      </c>
      <c r="K827" t="str">
        <f t="shared" si="112"/>
        <v>D5</v>
      </c>
      <c r="L827">
        <f t="shared" si="113"/>
        <v>255</v>
      </c>
      <c r="M827">
        <f t="shared" si="114"/>
        <v>239</v>
      </c>
      <c r="N827">
        <f t="shared" si="115"/>
        <v>213</v>
      </c>
      <c r="P827" t="str">
        <f t="shared" si="116"/>
        <v>.PapayaWhip-bg{background-color:#FFEFD5;}</v>
      </c>
    </row>
    <row r="828" spans="2:16" ht="15.75">
      <c r="B828" s="1" t="s">
        <v>1781</v>
      </c>
      <c r="C828" t="s">
        <v>1782</v>
      </c>
      <c r="D828">
        <v>22950</v>
      </c>
      <c r="E828">
        <v>6120</v>
      </c>
      <c r="F828">
        <v>22950</v>
      </c>
      <c r="G828" t="str">
        <f t="shared" si="108"/>
        <v>ParadisePink</v>
      </c>
      <c r="H828" t="str">
        <f t="shared" si="109"/>
        <v>E63E62</v>
      </c>
      <c r="I828" t="str">
        <f t="shared" si="110"/>
        <v>E6</v>
      </c>
      <c r="J828" t="str">
        <f t="shared" si="111"/>
        <v>3E</v>
      </c>
      <c r="K828" t="str">
        <f t="shared" si="112"/>
        <v>62</v>
      </c>
      <c r="L828">
        <f t="shared" si="113"/>
        <v>230</v>
      </c>
      <c r="M828">
        <f t="shared" si="114"/>
        <v>62</v>
      </c>
      <c r="N828">
        <f t="shared" si="115"/>
        <v>98</v>
      </c>
      <c r="P828" t="str">
        <f t="shared" si="116"/>
        <v>.ParadisePink-bg{background-color:#E63E62;}</v>
      </c>
    </row>
    <row r="829" spans="2:16" ht="15.75">
      <c r="B829" s="1" t="s">
        <v>1783</v>
      </c>
      <c r="C829" t="s">
        <v>979</v>
      </c>
      <c r="D829">
        <v>7905</v>
      </c>
      <c r="E829">
        <v>19890</v>
      </c>
      <c r="F829">
        <v>7905</v>
      </c>
      <c r="G829" t="str">
        <f t="shared" si="108"/>
        <v>ParisGreen</v>
      </c>
      <c r="H829" t="str">
        <f t="shared" si="109"/>
        <v>50C878</v>
      </c>
      <c r="I829" t="str">
        <f t="shared" si="110"/>
        <v>50</v>
      </c>
      <c r="J829" t="str">
        <f t="shared" si="111"/>
        <v>C8</v>
      </c>
      <c r="K829" t="str">
        <f t="shared" si="112"/>
        <v>78</v>
      </c>
      <c r="L829">
        <f t="shared" si="113"/>
        <v>80</v>
      </c>
      <c r="M829">
        <f t="shared" si="114"/>
        <v>200</v>
      </c>
      <c r="N829">
        <f t="shared" si="115"/>
        <v>120</v>
      </c>
      <c r="P829" t="str">
        <f t="shared" si="116"/>
        <v>.ParisGreen-bg{background-color:#50C878;}</v>
      </c>
    </row>
    <row r="830" spans="2:16" ht="15.75">
      <c r="B830" s="1" t="s">
        <v>1784</v>
      </c>
      <c r="C830" t="s">
        <v>1785</v>
      </c>
      <c r="D830">
        <v>17340</v>
      </c>
      <c r="E830">
        <v>19890</v>
      </c>
      <c r="F830">
        <v>17340</v>
      </c>
      <c r="G830" t="str">
        <f t="shared" si="108"/>
        <v>PastelBlue</v>
      </c>
      <c r="H830" t="str">
        <f t="shared" si="109"/>
        <v>AEC6CF</v>
      </c>
      <c r="I830" t="str">
        <f t="shared" si="110"/>
        <v>AE</v>
      </c>
      <c r="J830" t="str">
        <f t="shared" si="111"/>
        <v>C6</v>
      </c>
      <c r="K830" t="str">
        <f t="shared" si="112"/>
        <v>CF</v>
      </c>
      <c r="L830">
        <f t="shared" si="113"/>
        <v>174</v>
      </c>
      <c r="M830">
        <f t="shared" si="114"/>
        <v>198</v>
      </c>
      <c r="N830">
        <f t="shared" si="115"/>
        <v>207</v>
      </c>
      <c r="P830" t="str">
        <f t="shared" si="116"/>
        <v>.PastelBlue-bg{background-color:#AEC6CF;}</v>
      </c>
    </row>
    <row r="831" spans="2:16" ht="15.75">
      <c r="B831" s="1" t="s">
        <v>1786</v>
      </c>
      <c r="C831" t="s">
        <v>1787</v>
      </c>
      <c r="D831">
        <v>13005</v>
      </c>
      <c r="E831">
        <v>10455</v>
      </c>
      <c r="F831">
        <v>13005</v>
      </c>
      <c r="G831" t="str">
        <f t="shared" si="108"/>
        <v>PastelBrown</v>
      </c>
      <c r="H831" t="str">
        <f t="shared" si="109"/>
        <v>836953</v>
      </c>
      <c r="I831" t="str">
        <f t="shared" si="110"/>
        <v>83</v>
      </c>
      <c r="J831" t="str">
        <f t="shared" si="111"/>
        <v>69</v>
      </c>
      <c r="K831" t="str">
        <f t="shared" si="112"/>
        <v>53</v>
      </c>
      <c r="L831">
        <f t="shared" si="113"/>
        <v>131</v>
      </c>
      <c r="M831">
        <f t="shared" si="114"/>
        <v>105</v>
      </c>
      <c r="N831">
        <f t="shared" si="115"/>
        <v>83</v>
      </c>
      <c r="P831" t="str">
        <f t="shared" si="116"/>
        <v>.PastelBrown-bg{background-color:#836953;}</v>
      </c>
    </row>
    <row r="832" spans="2:16" ht="15.75">
      <c r="B832" s="1" t="s">
        <v>1788</v>
      </c>
      <c r="C832" t="s">
        <v>1789</v>
      </c>
      <c r="D832">
        <v>20655</v>
      </c>
      <c r="E832">
        <v>20655</v>
      </c>
      <c r="F832">
        <v>20655</v>
      </c>
      <c r="G832" t="str">
        <f t="shared" si="108"/>
        <v>PastelGray</v>
      </c>
      <c r="H832" t="str">
        <f t="shared" si="109"/>
        <v>CFCFC4</v>
      </c>
      <c r="I832" t="str">
        <f t="shared" si="110"/>
        <v>CF</v>
      </c>
      <c r="J832" t="str">
        <f t="shared" si="111"/>
        <v>CF</v>
      </c>
      <c r="K832" t="str">
        <f t="shared" si="112"/>
        <v>C4</v>
      </c>
      <c r="L832">
        <f t="shared" si="113"/>
        <v>207</v>
      </c>
      <c r="M832">
        <f t="shared" si="114"/>
        <v>207</v>
      </c>
      <c r="N832">
        <f t="shared" si="115"/>
        <v>196</v>
      </c>
      <c r="P832" t="str">
        <f t="shared" si="116"/>
        <v>.PastelGray-bg{background-color:#CFCFC4;}</v>
      </c>
    </row>
    <row r="833" spans="2:16" ht="15.75">
      <c r="B833" s="1" t="s">
        <v>1790</v>
      </c>
      <c r="C833" t="s">
        <v>1791</v>
      </c>
      <c r="D833">
        <v>11985</v>
      </c>
      <c r="E833">
        <v>22185</v>
      </c>
      <c r="F833">
        <v>11985</v>
      </c>
      <c r="G833" t="str">
        <f t="shared" si="108"/>
        <v>PastelGreen</v>
      </c>
      <c r="H833" t="str">
        <f t="shared" si="109"/>
        <v>77DD77</v>
      </c>
      <c r="I833" t="str">
        <f t="shared" si="110"/>
        <v>77</v>
      </c>
      <c r="J833" t="str">
        <f t="shared" si="111"/>
        <v>DD</v>
      </c>
      <c r="K833" t="str">
        <f t="shared" si="112"/>
        <v>77</v>
      </c>
      <c r="L833">
        <f t="shared" si="113"/>
        <v>119</v>
      </c>
      <c r="M833">
        <f t="shared" si="114"/>
        <v>221</v>
      </c>
      <c r="N833">
        <f t="shared" si="115"/>
        <v>119</v>
      </c>
      <c r="P833" t="str">
        <f t="shared" si="116"/>
        <v>.PastelGreen-bg{background-color:#77DD77;}</v>
      </c>
    </row>
    <row r="834" spans="2:16" ht="15.75">
      <c r="B834" s="1" t="s">
        <v>1792</v>
      </c>
      <c r="C834" t="s">
        <v>1793</v>
      </c>
      <c r="D834">
        <v>24480</v>
      </c>
      <c r="E834">
        <v>15300</v>
      </c>
      <c r="F834">
        <v>24480</v>
      </c>
      <c r="G834" t="str">
        <f t="shared" si="108"/>
        <v>PastelMagenta</v>
      </c>
      <c r="H834" t="str">
        <f t="shared" si="109"/>
        <v>F49AC2</v>
      </c>
      <c r="I834" t="str">
        <f t="shared" si="110"/>
        <v>F4</v>
      </c>
      <c r="J834" t="str">
        <f t="shared" si="111"/>
        <v>9A</v>
      </c>
      <c r="K834" t="str">
        <f t="shared" si="112"/>
        <v>C2</v>
      </c>
      <c r="L834">
        <f t="shared" si="113"/>
        <v>244</v>
      </c>
      <c r="M834">
        <f t="shared" si="114"/>
        <v>154</v>
      </c>
      <c r="N834">
        <f t="shared" si="115"/>
        <v>194</v>
      </c>
      <c r="P834" t="str">
        <f t="shared" si="116"/>
        <v>.PastelMagenta-bg{background-color:#F49AC2;}</v>
      </c>
    </row>
    <row r="835" spans="2:16" ht="15.75">
      <c r="B835" s="1" t="s">
        <v>1794</v>
      </c>
      <c r="C835" t="s">
        <v>1795</v>
      </c>
      <c r="D835">
        <v>25500</v>
      </c>
      <c r="E835">
        <v>17850</v>
      </c>
      <c r="F835">
        <v>25500</v>
      </c>
      <c r="G835" t="str">
        <f t="shared" si="108"/>
        <v>PastelOrange</v>
      </c>
      <c r="H835" t="str">
        <f t="shared" si="109"/>
        <v>FFB347</v>
      </c>
      <c r="I835" t="str">
        <f t="shared" si="110"/>
        <v>FF</v>
      </c>
      <c r="J835" t="str">
        <f t="shared" si="111"/>
        <v>B3</v>
      </c>
      <c r="K835" t="str">
        <f t="shared" si="112"/>
        <v>47</v>
      </c>
      <c r="L835">
        <f t="shared" si="113"/>
        <v>255</v>
      </c>
      <c r="M835">
        <f t="shared" si="114"/>
        <v>179</v>
      </c>
      <c r="N835">
        <f t="shared" si="115"/>
        <v>71</v>
      </c>
      <c r="P835" t="str">
        <f t="shared" si="116"/>
        <v>.PastelOrange-bg{background-color:#FFB347;}</v>
      </c>
    </row>
    <row r="836" spans="2:16" ht="15.75">
      <c r="B836" s="1" t="s">
        <v>1796</v>
      </c>
      <c r="C836" t="s">
        <v>1797</v>
      </c>
      <c r="D836">
        <v>22185</v>
      </c>
      <c r="E836">
        <v>16575</v>
      </c>
      <c r="F836">
        <v>22185</v>
      </c>
      <c r="G836" t="str">
        <f t="shared" ref="G836:G899" si="117">SUBSTITUTE(PROPER(AlphaNumericOnly(B836))," ","")</f>
        <v>PastelPink</v>
      </c>
      <c r="H836" t="str">
        <f t="shared" ref="H836:H899" si="118">RIGHT(C836,6)</f>
        <v>DEA5A4</v>
      </c>
      <c r="I836" t="str">
        <f t="shared" ref="I836:I899" si="119">MID($H836,1,2)</f>
        <v>DE</v>
      </c>
      <c r="J836" t="str">
        <f t="shared" ref="J836:J899" si="120">MID($H836,3,2)</f>
        <v>A5</v>
      </c>
      <c r="K836" t="str">
        <f t="shared" ref="K836:K899" si="121">MID($H836,5,2)</f>
        <v>A4</v>
      </c>
      <c r="L836">
        <f t="shared" ref="L836:L899" si="122">HEX2DEC(I836)</f>
        <v>222</v>
      </c>
      <c r="M836">
        <f t="shared" ref="M836:M899" si="123">HEX2DEC(J836)</f>
        <v>165</v>
      </c>
      <c r="N836">
        <f t="shared" ref="N836:N899" si="124">HEX2DEC(K836)</f>
        <v>164</v>
      </c>
      <c r="P836" t="str">
        <f t="shared" ref="P836:P899" si="125">"."&amp;G836&amp;$P$1&amp;"{"&amp;$P$2&amp;":#"&amp;H836&amp;";}"</f>
        <v>.PastelPink-bg{background-color:#DEA5A4;}</v>
      </c>
    </row>
    <row r="837" spans="2:16" ht="15.75">
      <c r="B837" s="1" t="s">
        <v>1798</v>
      </c>
      <c r="C837" t="s">
        <v>1799</v>
      </c>
      <c r="D837">
        <v>17850</v>
      </c>
      <c r="E837">
        <v>15810</v>
      </c>
      <c r="F837">
        <v>17850</v>
      </c>
      <c r="G837" t="str">
        <f t="shared" si="117"/>
        <v>PastelPurple</v>
      </c>
      <c r="H837" t="str">
        <f t="shared" si="118"/>
        <v>B39EB5</v>
      </c>
      <c r="I837" t="str">
        <f t="shared" si="119"/>
        <v>B3</v>
      </c>
      <c r="J837" t="str">
        <f t="shared" si="120"/>
        <v>9E</v>
      </c>
      <c r="K837" t="str">
        <f t="shared" si="121"/>
        <v>B5</v>
      </c>
      <c r="L837">
        <f t="shared" si="122"/>
        <v>179</v>
      </c>
      <c r="M837">
        <f t="shared" si="123"/>
        <v>158</v>
      </c>
      <c r="N837">
        <f t="shared" si="124"/>
        <v>181</v>
      </c>
      <c r="P837" t="str">
        <f t="shared" si="125"/>
        <v>.PastelPurple-bg{background-color:#B39EB5;}</v>
      </c>
    </row>
    <row r="838" spans="2:16" ht="15.75">
      <c r="B838" s="1" t="s">
        <v>1800</v>
      </c>
      <c r="C838" t="s">
        <v>1801</v>
      </c>
      <c r="D838">
        <v>25500</v>
      </c>
      <c r="E838">
        <v>10455</v>
      </c>
      <c r="F838">
        <v>25500</v>
      </c>
      <c r="G838" t="str">
        <f t="shared" si="117"/>
        <v>PastelRed</v>
      </c>
      <c r="H838" t="str">
        <f t="shared" si="118"/>
        <v>FF6961</v>
      </c>
      <c r="I838" t="str">
        <f t="shared" si="119"/>
        <v>FF</v>
      </c>
      <c r="J838" t="str">
        <f t="shared" si="120"/>
        <v>69</v>
      </c>
      <c r="K838" t="str">
        <f t="shared" si="121"/>
        <v>61</v>
      </c>
      <c r="L838">
        <f t="shared" si="122"/>
        <v>255</v>
      </c>
      <c r="M838">
        <f t="shared" si="123"/>
        <v>105</v>
      </c>
      <c r="N838">
        <f t="shared" si="124"/>
        <v>97</v>
      </c>
      <c r="P838" t="str">
        <f t="shared" si="125"/>
        <v>.PastelRed-bg{background-color:#FF6961;}</v>
      </c>
    </row>
    <row r="839" spans="2:16" ht="15.75">
      <c r="B839" s="1" t="s">
        <v>1802</v>
      </c>
      <c r="C839" t="s">
        <v>1803</v>
      </c>
      <c r="D839">
        <v>20400</v>
      </c>
      <c r="E839">
        <v>15300</v>
      </c>
      <c r="F839">
        <v>20400</v>
      </c>
      <c r="G839" t="str">
        <f t="shared" si="117"/>
        <v>PastelViolet</v>
      </c>
      <c r="H839" t="str">
        <f t="shared" si="118"/>
        <v>CB99C9</v>
      </c>
      <c r="I839" t="str">
        <f t="shared" si="119"/>
        <v>CB</v>
      </c>
      <c r="J839" t="str">
        <f t="shared" si="120"/>
        <v>99</v>
      </c>
      <c r="K839" t="str">
        <f t="shared" si="121"/>
        <v>C9</v>
      </c>
      <c r="L839">
        <f t="shared" si="122"/>
        <v>203</v>
      </c>
      <c r="M839">
        <f t="shared" si="123"/>
        <v>153</v>
      </c>
      <c r="N839">
        <f t="shared" si="124"/>
        <v>201</v>
      </c>
      <c r="P839" t="str">
        <f t="shared" si="125"/>
        <v>.PastelViolet-bg{background-color:#CB99C9;}</v>
      </c>
    </row>
    <row r="840" spans="2:16" ht="15.75">
      <c r="B840" s="1" t="s">
        <v>1804</v>
      </c>
      <c r="C840" t="s">
        <v>1805</v>
      </c>
      <c r="D840">
        <v>25245</v>
      </c>
      <c r="E840">
        <v>25245</v>
      </c>
      <c r="F840">
        <v>25245</v>
      </c>
      <c r="G840" t="str">
        <f t="shared" si="117"/>
        <v>PastelYellow</v>
      </c>
      <c r="H840" t="str">
        <f t="shared" si="118"/>
        <v>FDFD96</v>
      </c>
      <c r="I840" t="str">
        <f t="shared" si="119"/>
        <v>FD</v>
      </c>
      <c r="J840" t="str">
        <f t="shared" si="120"/>
        <v>FD</v>
      </c>
      <c r="K840" t="str">
        <f t="shared" si="121"/>
        <v>96</v>
      </c>
      <c r="L840">
        <f t="shared" si="122"/>
        <v>253</v>
      </c>
      <c r="M840">
        <f t="shared" si="123"/>
        <v>253</v>
      </c>
      <c r="N840">
        <f t="shared" si="124"/>
        <v>150</v>
      </c>
      <c r="P840" t="str">
        <f t="shared" si="125"/>
        <v>.PastelYellow-bg{background-color:#FDFD96;}</v>
      </c>
    </row>
    <row r="841" spans="2:16" ht="15.75">
      <c r="B841" s="1" t="s">
        <v>1806</v>
      </c>
      <c r="C841" t="s">
        <v>1807</v>
      </c>
      <c r="D841">
        <v>12750</v>
      </c>
      <c r="E841">
        <v>0</v>
      </c>
      <c r="F841">
        <v>12750</v>
      </c>
      <c r="G841" t="str">
        <f t="shared" si="117"/>
        <v>Patriarch</v>
      </c>
      <c r="H841" t="str">
        <f t="shared" si="118"/>
        <v>800080</v>
      </c>
      <c r="I841" t="str">
        <f t="shared" si="119"/>
        <v>80</v>
      </c>
      <c r="J841" t="str">
        <f t="shared" si="120"/>
        <v>00</v>
      </c>
      <c r="K841" t="str">
        <f t="shared" si="121"/>
        <v>80</v>
      </c>
      <c r="L841">
        <f t="shared" si="122"/>
        <v>128</v>
      </c>
      <c r="M841">
        <f t="shared" si="123"/>
        <v>0</v>
      </c>
      <c r="N841">
        <f t="shared" si="124"/>
        <v>128</v>
      </c>
      <c r="P841" t="str">
        <f t="shared" si="125"/>
        <v>.Patriarch-bg{background-color:#800080;}</v>
      </c>
    </row>
    <row r="842" spans="2:16" ht="15.75">
      <c r="B842" s="1" t="s">
        <v>1808</v>
      </c>
      <c r="C842" t="s">
        <v>753</v>
      </c>
      <c r="D842">
        <v>8415</v>
      </c>
      <c r="E842">
        <v>10455</v>
      </c>
      <c r="F842">
        <v>8415</v>
      </c>
      <c r="G842" t="str">
        <f t="shared" si="117"/>
        <v>PaynesGrey</v>
      </c>
      <c r="H842" t="str">
        <f t="shared" si="118"/>
        <v>536878</v>
      </c>
      <c r="I842" t="str">
        <f t="shared" si="119"/>
        <v>53</v>
      </c>
      <c r="J842" t="str">
        <f t="shared" si="120"/>
        <v>68</v>
      </c>
      <c r="K842" t="str">
        <f t="shared" si="121"/>
        <v>78</v>
      </c>
      <c r="L842">
        <f t="shared" si="122"/>
        <v>83</v>
      </c>
      <c r="M842">
        <f t="shared" si="123"/>
        <v>104</v>
      </c>
      <c r="N842">
        <f t="shared" si="124"/>
        <v>120</v>
      </c>
      <c r="P842" t="str">
        <f t="shared" si="125"/>
        <v>.PaynesGrey-bg{background-color:#536878;}</v>
      </c>
    </row>
    <row r="843" spans="2:16" ht="15.75">
      <c r="B843" s="1" t="s">
        <v>1809</v>
      </c>
      <c r="C843" t="s">
        <v>1810</v>
      </c>
      <c r="D843">
        <v>25500</v>
      </c>
      <c r="E843">
        <v>22950</v>
      </c>
      <c r="F843">
        <v>25500</v>
      </c>
      <c r="G843" t="str">
        <f t="shared" si="117"/>
        <v>Peach</v>
      </c>
      <c r="H843" t="str">
        <f t="shared" si="118"/>
        <v>FFE5B4</v>
      </c>
      <c r="I843" t="str">
        <f t="shared" si="119"/>
        <v>FF</v>
      </c>
      <c r="J843" t="str">
        <f t="shared" si="120"/>
        <v>E5</v>
      </c>
      <c r="K843" t="str">
        <f t="shared" si="121"/>
        <v>B4</v>
      </c>
      <c r="L843">
        <f t="shared" si="122"/>
        <v>255</v>
      </c>
      <c r="M843">
        <f t="shared" si="123"/>
        <v>229</v>
      </c>
      <c r="N843">
        <f t="shared" si="124"/>
        <v>180</v>
      </c>
      <c r="P843" t="str">
        <f t="shared" si="125"/>
        <v>.Peach-bg{background-color:#FFE5B4;}</v>
      </c>
    </row>
    <row r="844" spans="2:16" ht="15.75">
      <c r="B844" s="1" t="s">
        <v>1809</v>
      </c>
      <c r="C844" t="s">
        <v>887</v>
      </c>
      <c r="D844">
        <v>25500</v>
      </c>
      <c r="E844">
        <v>20400</v>
      </c>
      <c r="F844">
        <v>25500</v>
      </c>
      <c r="G844" t="str">
        <f t="shared" si="117"/>
        <v>Peach</v>
      </c>
      <c r="H844" t="str">
        <f t="shared" si="118"/>
        <v>FFCBA4</v>
      </c>
      <c r="I844" t="str">
        <f t="shared" si="119"/>
        <v>FF</v>
      </c>
      <c r="J844" t="str">
        <f t="shared" si="120"/>
        <v>CB</v>
      </c>
      <c r="K844" t="str">
        <f t="shared" si="121"/>
        <v>A4</v>
      </c>
      <c r="L844">
        <f t="shared" si="122"/>
        <v>255</v>
      </c>
      <c r="M844">
        <f t="shared" si="123"/>
        <v>203</v>
      </c>
      <c r="N844">
        <f t="shared" si="124"/>
        <v>164</v>
      </c>
      <c r="P844" t="str">
        <f t="shared" si="125"/>
        <v>.Peach-bg{background-color:#FFCBA4;}</v>
      </c>
    </row>
    <row r="845" spans="2:16" ht="15.75">
      <c r="B845" s="1" t="s">
        <v>1811</v>
      </c>
      <c r="C845" t="s">
        <v>1812</v>
      </c>
      <c r="D845">
        <v>25500</v>
      </c>
      <c r="E845">
        <v>20400</v>
      </c>
      <c r="F845">
        <v>25500</v>
      </c>
      <c r="G845" t="str">
        <f t="shared" si="117"/>
        <v>Peachorange</v>
      </c>
      <c r="H845" t="str">
        <f t="shared" si="118"/>
        <v>FFCC99</v>
      </c>
      <c r="I845" t="str">
        <f t="shared" si="119"/>
        <v>FF</v>
      </c>
      <c r="J845" t="str">
        <f t="shared" si="120"/>
        <v>CC</v>
      </c>
      <c r="K845" t="str">
        <f t="shared" si="121"/>
        <v>99</v>
      </c>
      <c r="L845">
        <f t="shared" si="122"/>
        <v>255</v>
      </c>
      <c r="M845">
        <f t="shared" si="123"/>
        <v>204</v>
      </c>
      <c r="N845">
        <f t="shared" si="124"/>
        <v>153</v>
      </c>
      <c r="P845" t="str">
        <f t="shared" si="125"/>
        <v>.Peachorange-bg{background-color:#FFCC99;}</v>
      </c>
    </row>
    <row r="846" spans="2:16" ht="15.75">
      <c r="B846" s="1" t="s">
        <v>1813</v>
      </c>
      <c r="C846" t="s">
        <v>1814</v>
      </c>
      <c r="D846">
        <v>25500</v>
      </c>
      <c r="E846">
        <v>21675</v>
      </c>
      <c r="F846">
        <v>25500</v>
      </c>
      <c r="G846" t="str">
        <f t="shared" si="117"/>
        <v>PeachPuff</v>
      </c>
      <c r="H846" t="str">
        <f t="shared" si="118"/>
        <v>FFDAB9</v>
      </c>
      <c r="I846" t="str">
        <f t="shared" si="119"/>
        <v>FF</v>
      </c>
      <c r="J846" t="str">
        <f t="shared" si="120"/>
        <v>DA</v>
      </c>
      <c r="K846" t="str">
        <f t="shared" si="121"/>
        <v>B9</v>
      </c>
      <c r="L846">
        <f t="shared" si="122"/>
        <v>255</v>
      </c>
      <c r="M846">
        <f t="shared" si="123"/>
        <v>218</v>
      </c>
      <c r="N846">
        <f t="shared" si="124"/>
        <v>185</v>
      </c>
      <c r="P846" t="str">
        <f t="shared" si="125"/>
        <v>.PeachPuff-bg{background-color:#FFDAB9;}</v>
      </c>
    </row>
    <row r="847" spans="2:16" ht="15.75">
      <c r="B847" s="1" t="s">
        <v>1815</v>
      </c>
      <c r="C847" t="s">
        <v>1816</v>
      </c>
      <c r="D847">
        <v>24990</v>
      </c>
      <c r="E847">
        <v>22185</v>
      </c>
      <c r="F847">
        <v>24990</v>
      </c>
      <c r="G847" t="str">
        <f t="shared" si="117"/>
        <v>Peachyellow</v>
      </c>
      <c r="H847" t="str">
        <f t="shared" si="118"/>
        <v>FADFAD</v>
      </c>
      <c r="I847" t="str">
        <f t="shared" si="119"/>
        <v>FA</v>
      </c>
      <c r="J847" t="str">
        <f t="shared" si="120"/>
        <v>DF</v>
      </c>
      <c r="K847" t="str">
        <f t="shared" si="121"/>
        <v>AD</v>
      </c>
      <c r="L847">
        <f t="shared" si="122"/>
        <v>250</v>
      </c>
      <c r="M847">
        <f t="shared" si="123"/>
        <v>223</v>
      </c>
      <c r="N847">
        <f t="shared" si="124"/>
        <v>173</v>
      </c>
      <c r="P847" t="str">
        <f t="shared" si="125"/>
        <v>.Peachyellow-bg{background-color:#FADFAD;}</v>
      </c>
    </row>
    <row r="848" spans="2:16" ht="15.75">
      <c r="B848" s="1" t="s">
        <v>1817</v>
      </c>
      <c r="C848" t="s">
        <v>1818</v>
      </c>
      <c r="D848">
        <v>20910</v>
      </c>
      <c r="E848">
        <v>22695</v>
      </c>
      <c r="F848">
        <v>20910</v>
      </c>
      <c r="G848" t="str">
        <f t="shared" si="117"/>
        <v>Pear</v>
      </c>
      <c r="H848" t="str">
        <f t="shared" si="118"/>
        <v>D1E231</v>
      </c>
      <c r="I848" t="str">
        <f t="shared" si="119"/>
        <v>D1</v>
      </c>
      <c r="J848" t="str">
        <f t="shared" si="120"/>
        <v>E2</v>
      </c>
      <c r="K848" t="str">
        <f t="shared" si="121"/>
        <v>31</v>
      </c>
      <c r="L848">
        <f t="shared" si="122"/>
        <v>209</v>
      </c>
      <c r="M848">
        <f t="shared" si="123"/>
        <v>226</v>
      </c>
      <c r="N848">
        <f t="shared" si="124"/>
        <v>49</v>
      </c>
      <c r="P848" t="str">
        <f t="shared" si="125"/>
        <v>.Pear-bg{background-color:#D1E231;}</v>
      </c>
    </row>
    <row r="849" spans="2:16" ht="15.75">
      <c r="B849" s="1" t="s">
        <v>1819</v>
      </c>
      <c r="C849" t="s">
        <v>1820</v>
      </c>
      <c r="D849">
        <v>23460</v>
      </c>
      <c r="E849">
        <v>22440</v>
      </c>
      <c r="F849">
        <v>23460</v>
      </c>
      <c r="G849" t="str">
        <f t="shared" si="117"/>
        <v>Pearl</v>
      </c>
      <c r="H849" t="str">
        <f t="shared" si="118"/>
        <v>EAE0C8</v>
      </c>
      <c r="I849" t="str">
        <f t="shared" si="119"/>
        <v>EA</v>
      </c>
      <c r="J849" t="str">
        <f t="shared" si="120"/>
        <v>E0</v>
      </c>
      <c r="K849" t="str">
        <f t="shared" si="121"/>
        <v>C8</v>
      </c>
      <c r="L849">
        <f t="shared" si="122"/>
        <v>234</v>
      </c>
      <c r="M849">
        <f t="shared" si="123"/>
        <v>224</v>
      </c>
      <c r="N849">
        <f t="shared" si="124"/>
        <v>200</v>
      </c>
      <c r="P849" t="str">
        <f t="shared" si="125"/>
        <v>.Pearl-bg{background-color:#EAE0C8;}</v>
      </c>
    </row>
    <row r="850" spans="2:16" ht="15.75">
      <c r="B850" s="1" t="s">
        <v>1821</v>
      </c>
      <c r="C850" t="s">
        <v>1822</v>
      </c>
      <c r="D850">
        <v>13515</v>
      </c>
      <c r="E850">
        <v>21675</v>
      </c>
      <c r="F850">
        <v>13515</v>
      </c>
      <c r="G850" t="str">
        <f t="shared" si="117"/>
        <v>PearlAqua</v>
      </c>
      <c r="H850" t="str">
        <f t="shared" si="118"/>
        <v>88D8C0</v>
      </c>
      <c r="I850" t="str">
        <f t="shared" si="119"/>
        <v>88</v>
      </c>
      <c r="J850" t="str">
        <f t="shared" si="120"/>
        <v>D8</v>
      </c>
      <c r="K850" t="str">
        <f t="shared" si="121"/>
        <v>C0</v>
      </c>
      <c r="L850">
        <f t="shared" si="122"/>
        <v>136</v>
      </c>
      <c r="M850">
        <f t="shared" si="123"/>
        <v>216</v>
      </c>
      <c r="N850">
        <f t="shared" si="124"/>
        <v>192</v>
      </c>
      <c r="P850" t="str">
        <f t="shared" si="125"/>
        <v>.PearlAqua-bg{background-color:#88D8C0;}</v>
      </c>
    </row>
    <row r="851" spans="2:16" ht="15.75">
      <c r="B851" s="1" t="s">
        <v>1823</v>
      </c>
      <c r="C851" t="s">
        <v>1824</v>
      </c>
      <c r="D851">
        <v>18360</v>
      </c>
      <c r="E851">
        <v>10455</v>
      </c>
      <c r="F851">
        <v>18360</v>
      </c>
      <c r="G851" t="str">
        <f t="shared" si="117"/>
        <v>PearlyPurple</v>
      </c>
      <c r="H851" t="str">
        <f t="shared" si="118"/>
        <v>B768A2</v>
      </c>
      <c r="I851" t="str">
        <f t="shared" si="119"/>
        <v>B7</v>
      </c>
      <c r="J851" t="str">
        <f t="shared" si="120"/>
        <v>68</v>
      </c>
      <c r="K851" t="str">
        <f t="shared" si="121"/>
        <v>A2</v>
      </c>
      <c r="L851">
        <f t="shared" si="122"/>
        <v>183</v>
      </c>
      <c r="M851">
        <f t="shared" si="123"/>
        <v>104</v>
      </c>
      <c r="N851">
        <f t="shared" si="124"/>
        <v>162</v>
      </c>
      <c r="P851" t="str">
        <f t="shared" si="125"/>
        <v>.PearlyPurple-bg{background-color:#B768A2;}</v>
      </c>
    </row>
    <row r="852" spans="2:16" ht="15.75">
      <c r="B852" s="1" t="s">
        <v>1825</v>
      </c>
      <c r="C852" t="s">
        <v>1826</v>
      </c>
      <c r="D852">
        <v>22950</v>
      </c>
      <c r="E852">
        <v>22695</v>
      </c>
      <c r="F852">
        <v>22950</v>
      </c>
      <c r="G852" t="str">
        <f t="shared" si="117"/>
        <v>Peridot</v>
      </c>
      <c r="H852" t="str">
        <f t="shared" si="118"/>
        <v>E6E200</v>
      </c>
      <c r="I852" t="str">
        <f t="shared" si="119"/>
        <v>E6</v>
      </c>
      <c r="J852" t="str">
        <f t="shared" si="120"/>
        <v>E2</v>
      </c>
      <c r="K852" t="str">
        <f t="shared" si="121"/>
        <v>00</v>
      </c>
      <c r="L852">
        <f t="shared" si="122"/>
        <v>230</v>
      </c>
      <c r="M852">
        <f t="shared" si="123"/>
        <v>226</v>
      </c>
      <c r="N852">
        <f t="shared" si="124"/>
        <v>0</v>
      </c>
      <c r="P852" t="str">
        <f t="shared" si="125"/>
        <v>.Peridot-bg{background-color:#E6E200;}</v>
      </c>
    </row>
    <row r="853" spans="2:16" ht="15.75">
      <c r="B853" s="1" t="s">
        <v>1827</v>
      </c>
      <c r="C853" t="s">
        <v>1324</v>
      </c>
      <c r="D853">
        <v>20400</v>
      </c>
      <c r="E853">
        <v>20400</v>
      </c>
      <c r="F853">
        <v>20400</v>
      </c>
      <c r="G853" t="str">
        <f t="shared" si="117"/>
        <v>Periwinkle</v>
      </c>
      <c r="H853" t="str">
        <f t="shared" si="118"/>
        <v>CCCCFF</v>
      </c>
      <c r="I853" t="str">
        <f t="shared" si="119"/>
        <v>CC</v>
      </c>
      <c r="J853" t="str">
        <f t="shared" si="120"/>
        <v>CC</v>
      </c>
      <c r="K853" t="str">
        <f t="shared" si="121"/>
        <v>FF</v>
      </c>
      <c r="L853">
        <f t="shared" si="122"/>
        <v>204</v>
      </c>
      <c r="M853">
        <f t="shared" si="123"/>
        <v>204</v>
      </c>
      <c r="N853">
        <f t="shared" si="124"/>
        <v>255</v>
      </c>
      <c r="P853" t="str">
        <f t="shared" si="125"/>
        <v>.Periwinkle-bg{background-color:#CCCCFF;}</v>
      </c>
    </row>
    <row r="854" spans="2:16" ht="15.75">
      <c r="B854" s="1" t="s">
        <v>1828</v>
      </c>
      <c r="C854" t="s">
        <v>1829</v>
      </c>
      <c r="D854">
        <v>22440</v>
      </c>
      <c r="E854">
        <v>4335</v>
      </c>
      <c r="F854">
        <v>22440</v>
      </c>
      <c r="G854" t="str">
        <f t="shared" si="117"/>
        <v>PermanentGeraniumLake</v>
      </c>
      <c r="H854" t="str">
        <f t="shared" si="118"/>
        <v>E12C2C</v>
      </c>
      <c r="I854" t="str">
        <f t="shared" si="119"/>
        <v>E1</v>
      </c>
      <c r="J854" t="str">
        <f t="shared" si="120"/>
        <v>2C</v>
      </c>
      <c r="K854" t="str">
        <f t="shared" si="121"/>
        <v>2C</v>
      </c>
      <c r="L854">
        <f t="shared" si="122"/>
        <v>225</v>
      </c>
      <c r="M854">
        <f t="shared" si="123"/>
        <v>44</v>
      </c>
      <c r="N854">
        <f t="shared" si="124"/>
        <v>44</v>
      </c>
      <c r="P854" t="str">
        <f t="shared" si="125"/>
        <v>.PermanentGeraniumLake-bg{background-color:#E12C2C;}</v>
      </c>
    </row>
    <row r="855" spans="2:16" ht="15.75">
      <c r="B855" s="1" t="s">
        <v>1830</v>
      </c>
      <c r="C855" t="s">
        <v>1831</v>
      </c>
      <c r="D855">
        <v>2805</v>
      </c>
      <c r="E855">
        <v>5610</v>
      </c>
      <c r="F855">
        <v>2805</v>
      </c>
      <c r="G855" t="str">
        <f t="shared" si="117"/>
        <v>PersianBlue</v>
      </c>
      <c r="H855" t="str">
        <f t="shared" si="118"/>
        <v>1C39BB</v>
      </c>
      <c r="I855" t="str">
        <f t="shared" si="119"/>
        <v>1C</v>
      </c>
      <c r="J855" t="str">
        <f t="shared" si="120"/>
        <v>39</v>
      </c>
      <c r="K855" t="str">
        <f t="shared" si="121"/>
        <v>BB</v>
      </c>
      <c r="L855">
        <f t="shared" si="122"/>
        <v>28</v>
      </c>
      <c r="M855">
        <f t="shared" si="123"/>
        <v>57</v>
      </c>
      <c r="N855">
        <f t="shared" si="124"/>
        <v>187</v>
      </c>
      <c r="P855" t="str">
        <f t="shared" si="125"/>
        <v>.PersianBlue-bg{background-color:#1C39BB;}</v>
      </c>
    </row>
    <row r="856" spans="2:16" ht="15.75">
      <c r="B856" s="1" t="s">
        <v>1832</v>
      </c>
      <c r="C856" t="s">
        <v>1833</v>
      </c>
      <c r="D856">
        <v>0</v>
      </c>
      <c r="E856">
        <v>16575</v>
      </c>
      <c r="F856">
        <v>0</v>
      </c>
      <c r="G856" t="str">
        <f t="shared" si="117"/>
        <v>PersianGreen</v>
      </c>
      <c r="H856" t="str">
        <f t="shared" si="118"/>
        <v>00A693</v>
      </c>
      <c r="I856" t="str">
        <f t="shared" si="119"/>
        <v>00</v>
      </c>
      <c r="J856" t="str">
        <f t="shared" si="120"/>
        <v>A6</v>
      </c>
      <c r="K856" t="str">
        <f t="shared" si="121"/>
        <v>93</v>
      </c>
      <c r="L856">
        <f t="shared" si="122"/>
        <v>0</v>
      </c>
      <c r="M856">
        <f t="shared" si="123"/>
        <v>166</v>
      </c>
      <c r="N856">
        <f t="shared" si="124"/>
        <v>147</v>
      </c>
      <c r="P856" t="str">
        <f t="shared" si="125"/>
        <v>.PersianGreen-bg{background-color:#00A693;}</v>
      </c>
    </row>
    <row r="857" spans="2:16" ht="15.75">
      <c r="B857" s="1" t="s">
        <v>1834</v>
      </c>
      <c r="C857" t="s">
        <v>1835</v>
      </c>
      <c r="D857">
        <v>5100</v>
      </c>
      <c r="E857">
        <v>1785</v>
      </c>
      <c r="F857">
        <v>5100</v>
      </c>
      <c r="G857" t="str">
        <f t="shared" si="117"/>
        <v>PersianIndigo</v>
      </c>
      <c r="H857" t="str">
        <f t="shared" si="118"/>
        <v>32127A</v>
      </c>
      <c r="I857" t="str">
        <f t="shared" si="119"/>
        <v>32</v>
      </c>
      <c r="J857" t="str">
        <f t="shared" si="120"/>
        <v>12</v>
      </c>
      <c r="K857" t="str">
        <f t="shared" si="121"/>
        <v>7A</v>
      </c>
      <c r="L857">
        <f t="shared" si="122"/>
        <v>50</v>
      </c>
      <c r="M857">
        <f t="shared" si="123"/>
        <v>18</v>
      </c>
      <c r="N857">
        <f t="shared" si="124"/>
        <v>122</v>
      </c>
      <c r="P857" t="str">
        <f t="shared" si="125"/>
        <v>.PersianIndigo-bg{background-color:#32127A;}</v>
      </c>
    </row>
    <row r="858" spans="2:16" ht="15.75">
      <c r="B858" s="1" t="s">
        <v>1836</v>
      </c>
      <c r="C858" t="s">
        <v>1837</v>
      </c>
      <c r="D858">
        <v>21675</v>
      </c>
      <c r="E858">
        <v>14280</v>
      </c>
      <c r="F858">
        <v>21675</v>
      </c>
      <c r="G858" t="str">
        <f t="shared" si="117"/>
        <v>PersianOrange</v>
      </c>
      <c r="H858" t="str">
        <f t="shared" si="118"/>
        <v>D99058</v>
      </c>
      <c r="I858" t="str">
        <f t="shared" si="119"/>
        <v>D9</v>
      </c>
      <c r="J858" t="str">
        <f t="shared" si="120"/>
        <v>90</v>
      </c>
      <c r="K858" t="str">
        <f t="shared" si="121"/>
        <v>58</v>
      </c>
      <c r="L858">
        <f t="shared" si="122"/>
        <v>217</v>
      </c>
      <c r="M858">
        <f t="shared" si="123"/>
        <v>144</v>
      </c>
      <c r="N858">
        <f t="shared" si="124"/>
        <v>88</v>
      </c>
      <c r="P858" t="str">
        <f t="shared" si="125"/>
        <v>.PersianOrange-bg{background-color:#D99058;}</v>
      </c>
    </row>
    <row r="859" spans="2:16" ht="15.75">
      <c r="B859" s="1" t="s">
        <v>1838</v>
      </c>
      <c r="C859" t="s">
        <v>1839</v>
      </c>
      <c r="D859">
        <v>24735</v>
      </c>
      <c r="E859">
        <v>12750</v>
      </c>
      <c r="F859">
        <v>24735</v>
      </c>
      <c r="G859" t="str">
        <f t="shared" si="117"/>
        <v>PersianPink</v>
      </c>
      <c r="H859" t="str">
        <f t="shared" si="118"/>
        <v>F77FBE</v>
      </c>
      <c r="I859" t="str">
        <f t="shared" si="119"/>
        <v>F7</v>
      </c>
      <c r="J859" t="str">
        <f t="shared" si="120"/>
        <v>7F</v>
      </c>
      <c r="K859" t="str">
        <f t="shared" si="121"/>
        <v>BE</v>
      </c>
      <c r="L859">
        <f t="shared" si="122"/>
        <v>247</v>
      </c>
      <c r="M859">
        <f t="shared" si="123"/>
        <v>127</v>
      </c>
      <c r="N859">
        <f t="shared" si="124"/>
        <v>190</v>
      </c>
      <c r="P859" t="str">
        <f t="shared" si="125"/>
        <v>.PersianPink-bg{background-color:#F77FBE;}</v>
      </c>
    </row>
    <row r="860" spans="2:16" ht="15.75">
      <c r="B860" s="1" t="s">
        <v>1840</v>
      </c>
      <c r="C860" t="s">
        <v>1841</v>
      </c>
      <c r="D860">
        <v>11220</v>
      </c>
      <c r="E860">
        <v>2805</v>
      </c>
      <c r="F860">
        <v>11220</v>
      </c>
      <c r="G860" t="str">
        <f t="shared" si="117"/>
        <v>PersianPlum</v>
      </c>
      <c r="H860" t="str">
        <f t="shared" si="118"/>
        <v>701C1C</v>
      </c>
      <c r="I860" t="str">
        <f t="shared" si="119"/>
        <v>70</v>
      </c>
      <c r="J860" t="str">
        <f t="shared" si="120"/>
        <v>1C</v>
      </c>
      <c r="K860" t="str">
        <f t="shared" si="121"/>
        <v>1C</v>
      </c>
      <c r="L860">
        <f t="shared" si="122"/>
        <v>112</v>
      </c>
      <c r="M860">
        <f t="shared" si="123"/>
        <v>28</v>
      </c>
      <c r="N860">
        <f t="shared" si="124"/>
        <v>28</v>
      </c>
      <c r="P860" t="str">
        <f t="shared" si="125"/>
        <v>.PersianPlum-bg{background-color:#701C1C;}</v>
      </c>
    </row>
    <row r="861" spans="2:16" ht="15.75">
      <c r="B861" s="1" t="s">
        <v>1842</v>
      </c>
      <c r="C861" t="s">
        <v>1843</v>
      </c>
      <c r="D861">
        <v>20400</v>
      </c>
      <c r="E861">
        <v>5100</v>
      </c>
      <c r="F861">
        <v>20400</v>
      </c>
      <c r="G861" t="str">
        <f t="shared" si="117"/>
        <v>PersianRed</v>
      </c>
      <c r="H861" t="str">
        <f t="shared" si="118"/>
        <v>CC3333</v>
      </c>
      <c r="I861" t="str">
        <f t="shared" si="119"/>
        <v>CC</v>
      </c>
      <c r="J861" t="str">
        <f t="shared" si="120"/>
        <v>33</v>
      </c>
      <c r="K861" t="str">
        <f t="shared" si="121"/>
        <v>33</v>
      </c>
      <c r="L861">
        <f t="shared" si="122"/>
        <v>204</v>
      </c>
      <c r="M861">
        <f t="shared" si="123"/>
        <v>51</v>
      </c>
      <c r="N861">
        <f t="shared" si="124"/>
        <v>51</v>
      </c>
      <c r="P861" t="str">
        <f t="shared" si="125"/>
        <v>.PersianRed-bg{background-color:#CC3333;}</v>
      </c>
    </row>
    <row r="862" spans="2:16" ht="15.75">
      <c r="B862" s="1" t="s">
        <v>1844</v>
      </c>
      <c r="C862" t="s">
        <v>1845</v>
      </c>
      <c r="D862">
        <v>25500</v>
      </c>
      <c r="E862">
        <v>4080</v>
      </c>
      <c r="F862">
        <v>25500</v>
      </c>
      <c r="G862" t="str">
        <f t="shared" si="117"/>
        <v>PersianRose</v>
      </c>
      <c r="H862" t="str">
        <f t="shared" si="118"/>
        <v>FE28A2</v>
      </c>
      <c r="I862" t="str">
        <f t="shared" si="119"/>
        <v>FE</v>
      </c>
      <c r="J862" t="str">
        <f t="shared" si="120"/>
        <v>28</v>
      </c>
      <c r="K862" t="str">
        <f t="shared" si="121"/>
        <v>A2</v>
      </c>
      <c r="L862">
        <f t="shared" si="122"/>
        <v>254</v>
      </c>
      <c r="M862">
        <f t="shared" si="123"/>
        <v>40</v>
      </c>
      <c r="N862">
        <f t="shared" si="124"/>
        <v>162</v>
      </c>
      <c r="P862" t="str">
        <f t="shared" si="125"/>
        <v>.PersianRose-bg{background-color:#FE28A2;}</v>
      </c>
    </row>
    <row r="863" spans="2:16" ht="15.75">
      <c r="B863" s="1" t="s">
        <v>1846</v>
      </c>
      <c r="C863" t="s">
        <v>1847</v>
      </c>
      <c r="D863">
        <v>23715</v>
      </c>
      <c r="E863">
        <v>8925</v>
      </c>
      <c r="F863">
        <v>23715</v>
      </c>
      <c r="G863" t="str">
        <f t="shared" si="117"/>
        <v>Persimmon</v>
      </c>
      <c r="H863" t="str">
        <f t="shared" si="118"/>
        <v>EC5800</v>
      </c>
      <c r="I863" t="str">
        <f t="shared" si="119"/>
        <v>EC</v>
      </c>
      <c r="J863" t="str">
        <f t="shared" si="120"/>
        <v>58</v>
      </c>
      <c r="K863" t="str">
        <f t="shared" si="121"/>
        <v>00</v>
      </c>
      <c r="L863">
        <f t="shared" si="122"/>
        <v>236</v>
      </c>
      <c r="M863">
        <f t="shared" si="123"/>
        <v>88</v>
      </c>
      <c r="N863">
        <f t="shared" si="124"/>
        <v>0</v>
      </c>
      <c r="P863" t="str">
        <f t="shared" si="125"/>
        <v>.Persimmon-bg{background-color:#EC5800;}</v>
      </c>
    </row>
    <row r="864" spans="2:16" ht="15.75">
      <c r="B864" s="1" t="s">
        <v>1848</v>
      </c>
      <c r="C864" t="s">
        <v>1849</v>
      </c>
      <c r="D864">
        <v>20400</v>
      </c>
      <c r="E864">
        <v>13260</v>
      </c>
      <c r="F864">
        <v>20400</v>
      </c>
      <c r="G864" t="str">
        <f t="shared" si="117"/>
        <v>Peru</v>
      </c>
      <c r="H864" t="str">
        <f t="shared" si="118"/>
        <v>CD853F</v>
      </c>
      <c r="I864" t="str">
        <f t="shared" si="119"/>
        <v>CD</v>
      </c>
      <c r="J864" t="str">
        <f t="shared" si="120"/>
        <v>85</v>
      </c>
      <c r="K864" t="str">
        <f t="shared" si="121"/>
        <v>3F</v>
      </c>
      <c r="L864">
        <f t="shared" si="122"/>
        <v>205</v>
      </c>
      <c r="M864">
        <f t="shared" si="123"/>
        <v>133</v>
      </c>
      <c r="N864">
        <f t="shared" si="124"/>
        <v>63</v>
      </c>
      <c r="P864" t="str">
        <f t="shared" si="125"/>
        <v>.Peru-bg{background-color:#CD853F;}</v>
      </c>
    </row>
    <row r="865" spans="2:16" ht="15.75">
      <c r="B865" s="1" t="s">
        <v>1850</v>
      </c>
      <c r="C865" t="s">
        <v>1851</v>
      </c>
      <c r="D865">
        <v>14025</v>
      </c>
      <c r="E865">
        <v>16830</v>
      </c>
      <c r="F865">
        <v>14025</v>
      </c>
      <c r="G865" t="str">
        <f t="shared" si="117"/>
        <v>PewterBlue</v>
      </c>
      <c r="H865" t="str">
        <f t="shared" si="118"/>
        <v>8BA8B7</v>
      </c>
      <c r="I865" t="str">
        <f t="shared" si="119"/>
        <v>8B</v>
      </c>
      <c r="J865" t="str">
        <f t="shared" si="120"/>
        <v>A8</v>
      </c>
      <c r="K865" t="str">
        <f t="shared" si="121"/>
        <v>B7</v>
      </c>
      <c r="L865">
        <f t="shared" si="122"/>
        <v>139</v>
      </c>
      <c r="M865">
        <f t="shared" si="123"/>
        <v>168</v>
      </c>
      <c r="N865">
        <f t="shared" si="124"/>
        <v>183</v>
      </c>
      <c r="P865" t="str">
        <f t="shared" si="125"/>
        <v>.PewterBlue-bg{background-color:#8BA8B7;}</v>
      </c>
    </row>
    <row r="866" spans="2:16" ht="15.75">
      <c r="B866" s="1" t="s">
        <v>1852</v>
      </c>
      <c r="C866" t="s">
        <v>1853</v>
      </c>
      <c r="D866">
        <v>22185</v>
      </c>
      <c r="E866">
        <v>0</v>
      </c>
      <c r="F866">
        <v>22185</v>
      </c>
      <c r="G866" t="str">
        <f t="shared" si="117"/>
        <v>Phlox</v>
      </c>
      <c r="H866" t="str">
        <f t="shared" si="118"/>
        <v>DF00FF</v>
      </c>
      <c r="I866" t="str">
        <f t="shared" si="119"/>
        <v>DF</v>
      </c>
      <c r="J866" t="str">
        <f t="shared" si="120"/>
        <v>00</v>
      </c>
      <c r="K866" t="str">
        <f t="shared" si="121"/>
        <v>FF</v>
      </c>
      <c r="L866">
        <f t="shared" si="122"/>
        <v>223</v>
      </c>
      <c r="M866">
        <f t="shared" si="123"/>
        <v>0</v>
      </c>
      <c r="N866">
        <f t="shared" si="124"/>
        <v>255</v>
      </c>
      <c r="P866" t="str">
        <f t="shared" si="125"/>
        <v>.Phlox-bg{background-color:#DF00FF;}</v>
      </c>
    </row>
    <row r="867" spans="2:16" ht="15.75">
      <c r="B867" s="1" t="s">
        <v>1854</v>
      </c>
      <c r="C867" t="s">
        <v>1855</v>
      </c>
      <c r="D867">
        <v>0</v>
      </c>
      <c r="E867">
        <v>1530</v>
      </c>
      <c r="F867">
        <v>0</v>
      </c>
      <c r="G867" t="str">
        <f t="shared" si="117"/>
        <v>PhthaloBlue</v>
      </c>
      <c r="H867" t="str">
        <f t="shared" si="118"/>
        <v>000F89</v>
      </c>
      <c r="I867" t="str">
        <f t="shared" si="119"/>
        <v>00</v>
      </c>
      <c r="J867" t="str">
        <f t="shared" si="120"/>
        <v>0F</v>
      </c>
      <c r="K867" t="str">
        <f t="shared" si="121"/>
        <v>89</v>
      </c>
      <c r="L867">
        <f t="shared" si="122"/>
        <v>0</v>
      </c>
      <c r="M867">
        <f t="shared" si="123"/>
        <v>15</v>
      </c>
      <c r="N867">
        <f t="shared" si="124"/>
        <v>137</v>
      </c>
      <c r="P867" t="str">
        <f t="shared" si="125"/>
        <v>.PhthaloBlue-bg{background-color:#000F89;}</v>
      </c>
    </row>
    <row r="868" spans="2:16" ht="15.75">
      <c r="B868" s="1" t="s">
        <v>1856</v>
      </c>
      <c r="C868" t="s">
        <v>1857</v>
      </c>
      <c r="D868">
        <v>1785</v>
      </c>
      <c r="E868">
        <v>5355</v>
      </c>
      <c r="F868">
        <v>1785</v>
      </c>
      <c r="G868" t="str">
        <f t="shared" si="117"/>
        <v>PhthaloGreen</v>
      </c>
      <c r="H868" t="str">
        <f t="shared" si="118"/>
        <v>123524</v>
      </c>
      <c r="I868" t="str">
        <f t="shared" si="119"/>
        <v>12</v>
      </c>
      <c r="J868" t="str">
        <f t="shared" si="120"/>
        <v>35</v>
      </c>
      <c r="K868" t="str">
        <f t="shared" si="121"/>
        <v>24</v>
      </c>
      <c r="L868">
        <f t="shared" si="122"/>
        <v>18</v>
      </c>
      <c r="M868">
        <f t="shared" si="123"/>
        <v>53</v>
      </c>
      <c r="N868">
        <f t="shared" si="124"/>
        <v>36</v>
      </c>
      <c r="P868" t="str">
        <f t="shared" si="125"/>
        <v>.PhthaloGreen-bg{background-color:#123524;}</v>
      </c>
    </row>
    <row r="869" spans="2:16" ht="15.75">
      <c r="B869" s="1" t="s">
        <v>1858</v>
      </c>
      <c r="C869" t="s">
        <v>1859</v>
      </c>
      <c r="D869">
        <v>6885</v>
      </c>
      <c r="E869">
        <v>17595</v>
      </c>
      <c r="F869">
        <v>6885</v>
      </c>
      <c r="G869" t="str">
        <f t="shared" si="117"/>
        <v>PictonBlue</v>
      </c>
      <c r="H869" t="str">
        <f t="shared" si="118"/>
        <v>45B1E8</v>
      </c>
      <c r="I869" t="str">
        <f t="shared" si="119"/>
        <v>45</v>
      </c>
      <c r="J869" t="str">
        <f t="shared" si="120"/>
        <v>B1</v>
      </c>
      <c r="K869" t="str">
        <f t="shared" si="121"/>
        <v>E8</v>
      </c>
      <c r="L869">
        <f t="shared" si="122"/>
        <v>69</v>
      </c>
      <c r="M869">
        <f t="shared" si="123"/>
        <v>177</v>
      </c>
      <c r="N869">
        <f t="shared" si="124"/>
        <v>232</v>
      </c>
      <c r="P869" t="str">
        <f t="shared" si="125"/>
        <v>.PictonBlue-bg{background-color:#45B1E8;}</v>
      </c>
    </row>
    <row r="870" spans="2:16" ht="15.75">
      <c r="B870" s="1" t="s">
        <v>1860</v>
      </c>
      <c r="C870" t="s">
        <v>1861</v>
      </c>
      <c r="D870">
        <v>19380</v>
      </c>
      <c r="E870">
        <v>1020</v>
      </c>
      <c r="F870">
        <v>19380</v>
      </c>
      <c r="G870" t="str">
        <f t="shared" si="117"/>
        <v>PictorialCarmine</v>
      </c>
      <c r="H870" t="str">
        <f t="shared" si="118"/>
        <v>C30B4E</v>
      </c>
      <c r="I870" t="str">
        <f t="shared" si="119"/>
        <v>C3</v>
      </c>
      <c r="J870" t="str">
        <f t="shared" si="120"/>
        <v>0B</v>
      </c>
      <c r="K870" t="str">
        <f t="shared" si="121"/>
        <v>4E</v>
      </c>
      <c r="L870">
        <f t="shared" si="122"/>
        <v>195</v>
      </c>
      <c r="M870">
        <f t="shared" si="123"/>
        <v>11</v>
      </c>
      <c r="N870">
        <f t="shared" si="124"/>
        <v>78</v>
      </c>
      <c r="P870" t="str">
        <f t="shared" si="125"/>
        <v>.PictorialCarmine-bg{background-color:#C30B4E;}</v>
      </c>
    </row>
    <row r="871" spans="2:16" ht="15.75">
      <c r="B871" s="1" t="s">
        <v>1862</v>
      </c>
      <c r="C871" t="s">
        <v>1863</v>
      </c>
      <c r="D871">
        <v>25245</v>
      </c>
      <c r="E871">
        <v>22185</v>
      </c>
      <c r="F871">
        <v>25245</v>
      </c>
      <c r="G871" t="str">
        <f t="shared" si="117"/>
        <v>PiggyPink</v>
      </c>
      <c r="H871" t="str">
        <f t="shared" si="118"/>
        <v>FDDDE6</v>
      </c>
      <c r="I871" t="str">
        <f t="shared" si="119"/>
        <v>FD</v>
      </c>
      <c r="J871" t="str">
        <f t="shared" si="120"/>
        <v>DD</v>
      </c>
      <c r="K871" t="str">
        <f t="shared" si="121"/>
        <v>E6</v>
      </c>
      <c r="L871">
        <f t="shared" si="122"/>
        <v>253</v>
      </c>
      <c r="M871">
        <f t="shared" si="123"/>
        <v>221</v>
      </c>
      <c r="N871">
        <f t="shared" si="124"/>
        <v>230</v>
      </c>
      <c r="P871" t="str">
        <f t="shared" si="125"/>
        <v>.PiggyPink-bg{background-color:#FDDDE6;}</v>
      </c>
    </row>
    <row r="872" spans="2:16" ht="15.75">
      <c r="B872" s="1" t="s">
        <v>1864</v>
      </c>
      <c r="C872" t="s">
        <v>1865</v>
      </c>
      <c r="D872">
        <v>0</v>
      </c>
      <c r="E872">
        <v>11985</v>
      </c>
      <c r="F872">
        <v>0</v>
      </c>
      <c r="G872" t="str">
        <f t="shared" si="117"/>
        <v>PineGreen</v>
      </c>
      <c r="H872" t="str">
        <f t="shared" si="118"/>
        <v>01796F</v>
      </c>
      <c r="I872" t="str">
        <f t="shared" si="119"/>
        <v>01</v>
      </c>
      <c r="J872" t="str">
        <f t="shared" si="120"/>
        <v>79</v>
      </c>
      <c r="K872" t="str">
        <f t="shared" si="121"/>
        <v>6F</v>
      </c>
      <c r="L872">
        <f t="shared" si="122"/>
        <v>1</v>
      </c>
      <c r="M872">
        <f t="shared" si="123"/>
        <v>121</v>
      </c>
      <c r="N872">
        <f t="shared" si="124"/>
        <v>111</v>
      </c>
      <c r="P872" t="str">
        <f t="shared" si="125"/>
        <v>.PineGreen-bg{background-color:#01796F;}</v>
      </c>
    </row>
    <row r="873" spans="2:16" ht="15.75">
      <c r="B873" s="1" t="s">
        <v>1866</v>
      </c>
      <c r="C873" t="s">
        <v>990</v>
      </c>
      <c r="D873">
        <v>8670</v>
      </c>
      <c r="E873">
        <v>6120</v>
      </c>
      <c r="F873">
        <v>8670</v>
      </c>
      <c r="G873" t="str">
        <f t="shared" si="117"/>
        <v>Pineapple</v>
      </c>
      <c r="H873" t="str">
        <f t="shared" si="118"/>
        <v>563C5C</v>
      </c>
      <c r="I873" t="str">
        <f t="shared" si="119"/>
        <v>56</v>
      </c>
      <c r="J873" t="str">
        <f t="shared" si="120"/>
        <v>3C</v>
      </c>
      <c r="K873" t="str">
        <f t="shared" si="121"/>
        <v>5C</v>
      </c>
      <c r="L873">
        <f t="shared" si="122"/>
        <v>86</v>
      </c>
      <c r="M873">
        <f t="shared" si="123"/>
        <v>60</v>
      </c>
      <c r="N873">
        <f t="shared" si="124"/>
        <v>92</v>
      </c>
      <c r="P873" t="str">
        <f t="shared" si="125"/>
        <v>.Pineapple-bg{background-color:#563C5C;}</v>
      </c>
    </row>
    <row r="874" spans="2:16" ht="15.75">
      <c r="B874" s="1" t="s">
        <v>1867</v>
      </c>
      <c r="C874" t="s">
        <v>1868</v>
      </c>
      <c r="D874">
        <v>25500</v>
      </c>
      <c r="E874">
        <v>19125</v>
      </c>
      <c r="F874">
        <v>25500</v>
      </c>
      <c r="G874" t="str">
        <f t="shared" si="117"/>
        <v>Pink</v>
      </c>
      <c r="H874" t="str">
        <f t="shared" si="118"/>
        <v>FFC0CB</v>
      </c>
      <c r="I874" t="str">
        <f t="shared" si="119"/>
        <v>FF</v>
      </c>
      <c r="J874" t="str">
        <f t="shared" si="120"/>
        <v>C0</v>
      </c>
      <c r="K874" t="str">
        <f t="shared" si="121"/>
        <v>CB</v>
      </c>
      <c r="L874">
        <f t="shared" si="122"/>
        <v>255</v>
      </c>
      <c r="M874">
        <f t="shared" si="123"/>
        <v>192</v>
      </c>
      <c r="N874">
        <f t="shared" si="124"/>
        <v>203</v>
      </c>
      <c r="P874" t="str">
        <f t="shared" si="125"/>
        <v>.Pink-bg{background-color:#FFC0CB;}</v>
      </c>
    </row>
    <row r="875" spans="2:16" ht="15.75">
      <c r="B875" s="1" t="s">
        <v>1869</v>
      </c>
      <c r="C875" t="s">
        <v>1870</v>
      </c>
      <c r="D875">
        <v>21420</v>
      </c>
      <c r="E875">
        <v>7140</v>
      </c>
      <c r="F875">
        <v>21420</v>
      </c>
      <c r="G875" t="str">
        <f t="shared" si="117"/>
        <v>PinkPantone</v>
      </c>
      <c r="H875" t="str">
        <f t="shared" si="118"/>
        <v>D74894</v>
      </c>
      <c r="I875" t="str">
        <f t="shared" si="119"/>
        <v>D7</v>
      </c>
      <c r="J875" t="str">
        <f t="shared" si="120"/>
        <v>48</v>
      </c>
      <c r="K875" t="str">
        <f t="shared" si="121"/>
        <v>94</v>
      </c>
      <c r="L875">
        <f t="shared" si="122"/>
        <v>215</v>
      </c>
      <c r="M875">
        <f t="shared" si="123"/>
        <v>72</v>
      </c>
      <c r="N875">
        <f t="shared" si="124"/>
        <v>148</v>
      </c>
      <c r="P875" t="str">
        <f t="shared" si="125"/>
        <v>.PinkPantone-bg{background-color:#D74894;}</v>
      </c>
    </row>
    <row r="876" spans="2:16" ht="15.75">
      <c r="B876" s="1" t="s">
        <v>1871</v>
      </c>
      <c r="C876" t="s">
        <v>1872</v>
      </c>
      <c r="D876">
        <v>25245</v>
      </c>
      <c r="E876">
        <v>11475</v>
      </c>
      <c r="F876">
        <v>25245</v>
      </c>
      <c r="G876" t="str">
        <f t="shared" si="117"/>
        <v>PinkFlamingo</v>
      </c>
      <c r="H876" t="str">
        <f t="shared" si="118"/>
        <v>FC74FD</v>
      </c>
      <c r="I876" t="str">
        <f t="shared" si="119"/>
        <v>FC</v>
      </c>
      <c r="J876" t="str">
        <f t="shared" si="120"/>
        <v>74</v>
      </c>
      <c r="K876" t="str">
        <f t="shared" si="121"/>
        <v>FD</v>
      </c>
      <c r="L876">
        <f t="shared" si="122"/>
        <v>252</v>
      </c>
      <c r="M876">
        <f t="shared" si="123"/>
        <v>116</v>
      </c>
      <c r="N876">
        <f t="shared" si="124"/>
        <v>253</v>
      </c>
      <c r="P876" t="str">
        <f t="shared" si="125"/>
        <v>.PinkFlamingo-bg{background-color:#FC74FD;}</v>
      </c>
    </row>
    <row r="877" spans="2:16" ht="15.75">
      <c r="B877" s="1" t="s">
        <v>1873</v>
      </c>
      <c r="C877" t="s">
        <v>1874</v>
      </c>
      <c r="D877">
        <v>25500</v>
      </c>
      <c r="E877">
        <v>22185</v>
      </c>
      <c r="F877">
        <v>25500</v>
      </c>
      <c r="G877" t="str">
        <f t="shared" si="117"/>
        <v>PinkLace</v>
      </c>
      <c r="H877" t="str">
        <f t="shared" si="118"/>
        <v>FFDDF4</v>
      </c>
      <c r="I877" t="str">
        <f t="shared" si="119"/>
        <v>FF</v>
      </c>
      <c r="J877" t="str">
        <f t="shared" si="120"/>
        <v>DD</v>
      </c>
      <c r="K877" t="str">
        <f t="shared" si="121"/>
        <v>F4</v>
      </c>
      <c r="L877">
        <f t="shared" si="122"/>
        <v>255</v>
      </c>
      <c r="M877">
        <f t="shared" si="123"/>
        <v>221</v>
      </c>
      <c r="N877">
        <f t="shared" si="124"/>
        <v>244</v>
      </c>
      <c r="P877" t="str">
        <f t="shared" si="125"/>
        <v>.PinkLace-bg{background-color:#FFDDF4;}</v>
      </c>
    </row>
    <row r="878" spans="2:16" ht="15.75">
      <c r="B878" s="1" t="s">
        <v>1875</v>
      </c>
      <c r="C878" t="s">
        <v>1876</v>
      </c>
      <c r="D878">
        <v>21675</v>
      </c>
      <c r="E878">
        <v>17850</v>
      </c>
      <c r="F878">
        <v>21675</v>
      </c>
      <c r="G878" t="str">
        <f t="shared" si="117"/>
        <v>PinkLavender</v>
      </c>
      <c r="H878" t="str">
        <f t="shared" si="118"/>
        <v>D8B2D1</v>
      </c>
      <c r="I878" t="str">
        <f t="shared" si="119"/>
        <v>D8</v>
      </c>
      <c r="J878" t="str">
        <f t="shared" si="120"/>
        <v>B2</v>
      </c>
      <c r="K878" t="str">
        <f t="shared" si="121"/>
        <v>D1</v>
      </c>
      <c r="L878">
        <f t="shared" si="122"/>
        <v>216</v>
      </c>
      <c r="M878">
        <f t="shared" si="123"/>
        <v>178</v>
      </c>
      <c r="N878">
        <f t="shared" si="124"/>
        <v>209</v>
      </c>
      <c r="P878" t="str">
        <f t="shared" si="125"/>
        <v>.PinkLavender-bg{background-color:#D8B2D1;}</v>
      </c>
    </row>
    <row r="879" spans="2:16" ht="15.75">
      <c r="B879" s="1" t="s">
        <v>1877</v>
      </c>
      <c r="C879" t="s">
        <v>290</v>
      </c>
      <c r="D879">
        <v>25500</v>
      </c>
      <c r="E879">
        <v>15300</v>
      </c>
      <c r="F879">
        <v>25500</v>
      </c>
      <c r="G879" t="str">
        <f t="shared" si="117"/>
        <v>Pinkorange</v>
      </c>
      <c r="H879" t="str">
        <f t="shared" si="118"/>
        <v>FF9966</v>
      </c>
      <c r="I879" t="str">
        <f t="shared" si="119"/>
        <v>FF</v>
      </c>
      <c r="J879" t="str">
        <f t="shared" si="120"/>
        <v>99</v>
      </c>
      <c r="K879" t="str">
        <f t="shared" si="121"/>
        <v>66</v>
      </c>
      <c r="L879">
        <f t="shared" si="122"/>
        <v>255</v>
      </c>
      <c r="M879">
        <f t="shared" si="123"/>
        <v>153</v>
      </c>
      <c r="N879">
        <f t="shared" si="124"/>
        <v>102</v>
      </c>
      <c r="P879" t="str">
        <f t="shared" si="125"/>
        <v>.Pinkorange-bg{background-color:#FF9966;}</v>
      </c>
    </row>
    <row r="880" spans="2:16" ht="15.75">
      <c r="B880" s="1" t="s">
        <v>1878</v>
      </c>
      <c r="C880" t="s">
        <v>1879</v>
      </c>
      <c r="D880">
        <v>23205</v>
      </c>
      <c r="E880">
        <v>17085</v>
      </c>
      <c r="F880">
        <v>23205</v>
      </c>
      <c r="G880" t="str">
        <f t="shared" si="117"/>
        <v>PinkPearl</v>
      </c>
      <c r="H880" t="str">
        <f t="shared" si="118"/>
        <v>E7ACCF</v>
      </c>
      <c r="I880" t="str">
        <f t="shared" si="119"/>
        <v>E7</v>
      </c>
      <c r="J880" t="str">
        <f t="shared" si="120"/>
        <v>AC</v>
      </c>
      <c r="K880" t="str">
        <f t="shared" si="121"/>
        <v>CF</v>
      </c>
      <c r="L880">
        <f t="shared" si="122"/>
        <v>231</v>
      </c>
      <c r="M880">
        <f t="shared" si="123"/>
        <v>172</v>
      </c>
      <c r="N880">
        <f t="shared" si="124"/>
        <v>207</v>
      </c>
      <c r="P880" t="str">
        <f t="shared" si="125"/>
        <v>.PinkPearl-bg{background-color:#E7ACCF;}</v>
      </c>
    </row>
    <row r="881" spans="2:16" ht="15.75">
      <c r="B881" s="1" t="s">
        <v>1880</v>
      </c>
      <c r="C881" t="s">
        <v>1881</v>
      </c>
      <c r="D881">
        <v>15300</v>
      </c>
      <c r="E881">
        <v>0</v>
      </c>
      <c r="F881">
        <v>15300</v>
      </c>
      <c r="G881" t="str">
        <f t="shared" si="117"/>
        <v>PinkRaspberry</v>
      </c>
      <c r="H881" t="str">
        <f t="shared" si="118"/>
        <v>980036</v>
      </c>
      <c r="I881" t="str">
        <f t="shared" si="119"/>
        <v>98</v>
      </c>
      <c r="J881" t="str">
        <f t="shared" si="120"/>
        <v>00</v>
      </c>
      <c r="K881" t="str">
        <f t="shared" si="121"/>
        <v>36</v>
      </c>
      <c r="L881">
        <f t="shared" si="122"/>
        <v>152</v>
      </c>
      <c r="M881">
        <f t="shared" si="123"/>
        <v>0</v>
      </c>
      <c r="N881">
        <f t="shared" si="124"/>
        <v>54</v>
      </c>
      <c r="P881" t="str">
        <f t="shared" si="125"/>
        <v>.PinkRaspberry-bg{background-color:#980036;}</v>
      </c>
    </row>
    <row r="882" spans="2:16" ht="15.75">
      <c r="B882" s="1" t="s">
        <v>1882</v>
      </c>
      <c r="C882" t="s">
        <v>1883</v>
      </c>
      <c r="D882">
        <v>24735</v>
      </c>
      <c r="E882">
        <v>14280</v>
      </c>
      <c r="F882">
        <v>24735</v>
      </c>
      <c r="G882" t="str">
        <f t="shared" si="117"/>
        <v>PinkSherbet</v>
      </c>
      <c r="H882" t="str">
        <f t="shared" si="118"/>
        <v>F78FA7</v>
      </c>
      <c r="I882" t="str">
        <f t="shared" si="119"/>
        <v>F7</v>
      </c>
      <c r="J882" t="str">
        <f t="shared" si="120"/>
        <v>8F</v>
      </c>
      <c r="K882" t="str">
        <f t="shared" si="121"/>
        <v>A7</v>
      </c>
      <c r="L882">
        <f t="shared" si="122"/>
        <v>247</v>
      </c>
      <c r="M882">
        <f t="shared" si="123"/>
        <v>143</v>
      </c>
      <c r="N882">
        <f t="shared" si="124"/>
        <v>167</v>
      </c>
      <c r="P882" t="str">
        <f t="shared" si="125"/>
        <v>.PinkSherbet-bg{background-color:#F78FA7;}</v>
      </c>
    </row>
    <row r="883" spans="2:16" ht="15.75">
      <c r="B883" s="1" t="s">
        <v>1884</v>
      </c>
      <c r="C883" t="s">
        <v>1885</v>
      </c>
      <c r="D883">
        <v>14790</v>
      </c>
      <c r="E883">
        <v>19635</v>
      </c>
      <c r="F883">
        <v>14790</v>
      </c>
      <c r="G883" t="str">
        <f t="shared" si="117"/>
        <v>Pistachio</v>
      </c>
      <c r="H883" t="str">
        <f t="shared" si="118"/>
        <v>93C572</v>
      </c>
      <c r="I883" t="str">
        <f t="shared" si="119"/>
        <v>93</v>
      </c>
      <c r="J883" t="str">
        <f t="shared" si="120"/>
        <v>C5</v>
      </c>
      <c r="K883" t="str">
        <f t="shared" si="121"/>
        <v>72</v>
      </c>
      <c r="L883">
        <f t="shared" si="122"/>
        <v>147</v>
      </c>
      <c r="M883">
        <f t="shared" si="123"/>
        <v>197</v>
      </c>
      <c r="N883">
        <f t="shared" si="124"/>
        <v>114</v>
      </c>
      <c r="P883" t="str">
        <f t="shared" si="125"/>
        <v>.Pistachio-bg{background-color:#93C572;}</v>
      </c>
    </row>
    <row r="884" spans="2:16" ht="15.75">
      <c r="B884" s="1" t="s">
        <v>1886</v>
      </c>
      <c r="C884" t="s">
        <v>1887</v>
      </c>
      <c r="D884">
        <v>5610</v>
      </c>
      <c r="E884">
        <v>1785</v>
      </c>
      <c r="F884">
        <v>5610</v>
      </c>
      <c r="G884" t="str">
        <f t="shared" si="117"/>
        <v>PixiePowder</v>
      </c>
      <c r="H884" t="str">
        <f t="shared" si="118"/>
        <v>391285</v>
      </c>
      <c r="I884" t="str">
        <f t="shared" si="119"/>
        <v>39</v>
      </c>
      <c r="J884" t="str">
        <f t="shared" si="120"/>
        <v>12</v>
      </c>
      <c r="K884" t="str">
        <f t="shared" si="121"/>
        <v>85</v>
      </c>
      <c r="L884">
        <f t="shared" si="122"/>
        <v>57</v>
      </c>
      <c r="M884">
        <f t="shared" si="123"/>
        <v>18</v>
      </c>
      <c r="N884">
        <f t="shared" si="124"/>
        <v>133</v>
      </c>
      <c r="P884" t="str">
        <f t="shared" si="125"/>
        <v>.PixiePowder-bg{background-color:#391285;}</v>
      </c>
    </row>
    <row r="885" spans="2:16" ht="15.75">
      <c r="B885" s="1" t="s">
        <v>1888</v>
      </c>
      <c r="C885" t="s">
        <v>1889</v>
      </c>
      <c r="D885">
        <v>22950</v>
      </c>
      <c r="E885">
        <v>22695</v>
      </c>
      <c r="F885">
        <v>22950</v>
      </c>
      <c r="G885" t="str">
        <f t="shared" si="117"/>
        <v>Platinum</v>
      </c>
      <c r="H885" t="str">
        <f t="shared" si="118"/>
        <v>E5E4E2</v>
      </c>
      <c r="I885" t="str">
        <f t="shared" si="119"/>
        <v>E5</v>
      </c>
      <c r="J885" t="str">
        <f t="shared" si="120"/>
        <v>E4</v>
      </c>
      <c r="K885" t="str">
        <f t="shared" si="121"/>
        <v>E2</v>
      </c>
      <c r="L885">
        <f t="shared" si="122"/>
        <v>229</v>
      </c>
      <c r="M885">
        <f t="shared" si="123"/>
        <v>228</v>
      </c>
      <c r="N885">
        <f t="shared" si="124"/>
        <v>226</v>
      </c>
      <c r="P885" t="str">
        <f t="shared" si="125"/>
        <v>.Platinum-bg{background-color:#E5E4E2;}</v>
      </c>
    </row>
    <row r="886" spans="2:16" ht="15.75">
      <c r="B886" s="1" t="s">
        <v>1890</v>
      </c>
      <c r="C886" t="s">
        <v>1891</v>
      </c>
      <c r="D886">
        <v>14280</v>
      </c>
      <c r="E886">
        <v>6885</v>
      </c>
      <c r="F886">
        <v>14280</v>
      </c>
      <c r="G886" t="str">
        <f t="shared" si="117"/>
        <v>Plum</v>
      </c>
      <c r="H886" t="str">
        <f t="shared" si="118"/>
        <v>8E4585</v>
      </c>
      <c r="I886" t="str">
        <f t="shared" si="119"/>
        <v>8E</v>
      </c>
      <c r="J886" t="str">
        <f t="shared" si="120"/>
        <v>45</v>
      </c>
      <c r="K886" t="str">
        <f t="shared" si="121"/>
        <v>85</v>
      </c>
      <c r="L886">
        <f t="shared" si="122"/>
        <v>142</v>
      </c>
      <c r="M886">
        <f t="shared" si="123"/>
        <v>69</v>
      </c>
      <c r="N886">
        <f t="shared" si="124"/>
        <v>133</v>
      </c>
      <c r="P886" t="str">
        <f t="shared" si="125"/>
        <v>.Plum-bg{background-color:#8E4585;}</v>
      </c>
    </row>
    <row r="887" spans="2:16" ht="15.75">
      <c r="B887" s="1" t="s">
        <v>1892</v>
      </c>
      <c r="C887" t="s">
        <v>1532</v>
      </c>
      <c r="D887">
        <v>22185</v>
      </c>
      <c r="E887">
        <v>16065</v>
      </c>
      <c r="F887">
        <v>22185</v>
      </c>
      <c r="G887" t="str">
        <f t="shared" si="117"/>
        <v>PlumWeb</v>
      </c>
      <c r="H887" t="str">
        <f t="shared" si="118"/>
        <v>DDA0DD</v>
      </c>
      <c r="I887" t="str">
        <f t="shared" si="119"/>
        <v>DD</v>
      </c>
      <c r="J887" t="str">
        <f t="shared" si="120"/>
        <v>A0</v>
      </c>
      <c r="K887" t="str">
        <f t="shared" si="121"/>
        <v>DD</v>
      </c>
      <c r="L887">
        <f t="shared" si="122"/>
        <v>221</v>
      </c>
      <c r="M887">
        <f t="shared" si="123"/>
        <v>160</v>
      </c>
      <c r="N887">
        <f t="shared" si="124"/>
        <v>221</v>
      </c>
      <c r="P887" t="str">
        <f t="shared" si="125"/>
        <v>.PlumWeb-bg{background-color:#DDA0DD;}</v>
      </c>
    </row>
    <row r="888" spans="2:16" ht="15.75">
      <c r="B888" s="1" t="s">
        <v>1893</v>
      </c>
      <c r="C888" t="s">
        <v>1894</v>
      </c>
      <c r="D888">
        <v>8925</v>
      </c>
      <c r="E888">
        <v>6885</v>
      </c>
      <c r="F888">
        <v>8925</v>
      </c>
      <c r="G888" t="str">
        <f t="shared" si="117"/>
        <v>PlumpPurple</v>
      </c>
      <c r="H888" t="str">
        <f t="shared" si="118"/>
        <v>5946B2</v>
      </c>
      <c r="I888" t="str">
        <f t="shared" si="119"/>
        <v>59</v>
      </c>
      <c r="J888" t="str">
        <f t="shared" si="120"/>
        <v>46</v>
      </c>
      <c r="K888" t="str">
        <f t="shared" si="121"/>
        <v>B2</v>
      </c>
      <c r="L888">
        <f t="shared" si="122"/>
        <v>89</v>
      </c>
      <c r="M888">
        <f t="shared" si="123"/>
        <v>70</v>
      </c>
      <c r="N888">
        <f t="shared" si="124"/>
        <v>178</v>
      </c>
      <c r="P888" t="str">
        <f t="shared" si="125"/>
        <v>.PlumpPurple-bg{background-color:#5946B2;}</v>
      </c>
    </row>
    <row r="889" spans="2:16" ht="15.75">
      <c r="B889" s="1" t="s">
        <v>1895</v>
      </c>
      <c r="C889" t="s">
        <v>1896</v>
      </c>
      <c r="D889">
        <v>9180</v>
      </c>
      <c r="E889">
        <v>16320</v>
      </c>
      <c r="F889">
        <v>9180</v>
      </c>
      <c r="G889" t="str">
        <f t="shared" si="117"/>
        <v>PolishedPine</v>
      </c>
      <c r="H889" t="str">
        <f t="shared" si="118"/>
        <v>5DA493</v>
      </c>
      <c r="I889" t="str">
        <f t="shared" si="119"/>
        <v>5D</v>
      </c>
      <c r="J889" t="str">
        <f t="shared" si="120"/>
        <v>A4</v>
      </c>
      <c r="K889" t="str">
        <f t="shared" si="121"/>
        <v>93</v>
      </c>
      <c r="L889">
        <f t="shared" si="122"/>
        <v>93</v>
      </c>
      <c r="M889">
        <f t="shared" si="123"/>
        <v>164</v>
      </c>
      <c r="N889">
        <f t="shared" si="124"/>
        <v>147</v>
      </c>
      <c r="P889" t="str">
        <f t="shared" si="125"/>
        <v>.PolishedPine-bg{background-color:#5DA493;}</v>
      </c>
    </row>
    <row r="890" spans="2:16" ht="15.75">
      <c r="B890" s="1" t="s">
        <v>1897</v>
      </c>
      <c r="C890" t="s">
        <v>1052</v>
      </c>
      <c r="D890">
        <v>13515</v>
      </c>
      <c r="E890">
        <v>9690</v>
      </c>
      <c r="F890">
        <v>13515</v>
      </c>
      <c r="G890" t="str">
        <f t="shared" si="117"/>
        <v>PompAndPower</v>
      </c>
      <c r="H890" t="str">
        <f t="shared" si="118"/>
        <v>86608E</v>
      </c>
      <c r="I890" t="str">
        <f t="shared" si="119"/>
        <v>86</v>
      </c>
      <c r="J890" t="str">
        <f t="shared" si="120"/>
        <v>60</v>
      </c>
      <c r="K890" t="str">
        <f t="shared" si="121"/>
        <v>8E</v>
      </c>
      <c r="L890">
        <f t="shared" si="122"/>
        <v>134</v>
      </c>
      <c r="M890">
        <f t="shared" si="123"/>
        <v>96</v>
      </c>
      <c r="N890">
        <f t="shared" si="124"/>
        <v>142</v>
      </c>
      <c r="P890" t="str">
        <f t="shared" si="125"/>
        <v>.PompAndPower-bg{background-color:#86608E;}</v>
      </c>
    </row>
    <row r="891" spans="2:16" ht="15.75">
      <c r="B891" s="1" t="s">
        <v>1898</v>
      </c>
      <c r="C891" t="s">
        <v>1899</v>
      </c>
      <c r="D891">
        <v>19125</v>
      </c>
      <c r="E891">
        <v>7905</v>
      </c>
      <c r="F891">
        <v>19125</v>
      </c>
      <c r="G891" t="str">
        <f t="shared" si="117"/>
        <v>Popstar</v>
      </c>
      <c r="H891" t="str">
        <f t="shared" si="118"/>
        <v>BE4F62</v>
      </c>
      <c r="I891" t="str">
        <f t="shared" si="119"/>
        <v>BE</v>
      </c>
      <c r="J891" t="str">
        <f t="shared" si="120"/>
        <v>4F</v>
      </c>
      <c r="K891" t="str">
        <f t="shared" si="121"/>
        <v>62</v>
      </c>
      <c r="L891">
        <f t="shared" si="122"/>
        <v>190</v>
      </c>
      <c r="M891">
        <f t="shared" si="123"/>
        <v>79</v>
      </c>
      <c r="N891">
        <f t="shared" si="124"/>
        <v>98</v>
      </c>
      <c r="P891" t="str">
        <f t="shared" si="125"/>
        <v>.Popstar-bg{background-color:#BE4F62;}</v>
      </c>
    </row>
    <row r="892" spans="2:16" ht="15.75">
      <c r="B892" s="1" t="s">
        <v>1900</v>
      </c>
      <c r="C892" t="s">
        <v>1901</v>
      </c>
      <c r="D892">
        <v>25500</v>
      </c>
      <c r="E892">
        <v>8925</v>
      </c>
      <c r="F892">
        <v>25500</v>
      </c>
      <c r="G892" t="str">
        <f t="shared" si="117"/>
        <v>PortlandOrange</v>
      </c>
      <c r="H892" t="str">
        <f t="shared" si="118"/>
        <v>FF5A36</v>
      </c>
      <c r="I892" t="str">
        <f t="shared" si="119"/>
        <v>FF</v>
      </c>
      <c r="J892" t="str">
        <f t="shared" si="120"/>
        <v>5A</v>
      </c>
      <c r="K892" t="str">
        <f t="shared" si="121"/>
        <v>36</v>
      </c>
      <c r="L892">
        <f t="shared" si="122"/>
        <v>255</v>
      </c>
      <c r="M892">
        <f t="shared" si="123"/>
        <v>90</v>
      </c>
      <c r="N892">
        <f t="shared" si="124"/>
        <v>54</v>
      </c>
      <c r="P892" t="str">
        <f t="shared" si="125"/>
        <v>.PortlandOrange-bg{background-color:#FF5A36;}</v>
      </c>
    </row>
    <row r="893" spans="2:16" ht="15.75">
      <c r="B893" s="1" t="s">
        <v>1902</v>
      </c>
      <c r="C893" t="s">
        <v>1903</v>
      </c>
      <c r="D893">
        <v>17595</v>
      </c>
      <c r="E893">
        <v>22440</v>
      </c>
      <c r="F893">
        <v>17595</v>
      </c>
      <c r="G893" t="str">
        <f t="shared" si="117"/>
        <v>PowderBlue</v>
      </c>
      <c r="H893" t="str">
        <f t="shared" si="118"/>
        <v>B0E0E6</v>
      </c>
      <c r="I893" t="str">
        <f t="shared" si="119"/>
        <v>B0</v>
      </c>
      <c r="J893" t="str">
        <f t="shared" si="120"/>
        <v>E0</v>
      </c>
      <c r="K893" t="str">
        <f t="shared" si="121"/>
        <v>E6</v>
      </c>
      <c r="L893">
        <f t="shared" si="122"/>
        <v>176</v>
      </c>
      <c r="M893">
        <f t="shared" si="123"/>
        <v>224</v>
      </c>
      <c r="N893">
        <f t="shared" si="124"/>
        <v>230</v>
      </c>
      <c r="P893" t="str">
        <f t="shared" si="125"/>
        <v>.PowderBlue-bg{background-color:#B0E0E6;}</v>
      </c>
    </row>
    <row r="894" spans="2:16" ht="15.75">
      <c r="B894" s="1" t="s">
        <v>1904</v>
      </c>
      <c r="C894" t="s">
        <v>1905</v>
      </c>
      <c r="D894">
        <v>25500</v>
      </c>
      <c r="E894">
        <v>13260</v>
      </c>
      <c r="F894">
        <v>25500</v>
      </c>
      <c r="G894" t="str">
        <f t="shared" si="117"/>
        <v>PrincessPerfume</v>
      </c>
      <c r="H894" t="str">
        <f t="shared" si="118"/>
        <v>FF85CF</v>
      </c>
      <c r="I894" t="str">
        <f t="shared" si="119"/>
        <v>FF</v>
      </c>
      <c r="J894" t="str">
        <f t="shared" si="120"/>
        <v>85</v>
      </c>
      <c r="K894" t="str">
        <f t="shared" si="121"/>
        <v>CF</v>
      </c>
      <c r="L894">
        <f t="shared" si="122"/>
        <v>255</v>
      </c>
      <c r="M894">
        <f t="shared" si="123"/>
        <v>133</v>
      </c>
      <c r="N894">
        <f t="shared" si="124"/>
        <v>207</v>
      </c>
      <c r="P894" t="str">
        <f t="shared" si="125"/>
        <v>.PrincessPerfume-bg{background-color:#FF85CF;}</v>
      </c>
    </row>
    <row r="895" spans="2:16" ht="15.75">
      <c r="B895" s="1" t="s">
        <v>1906</v>
      </c>
      <c r="C895" t="s">
        <v>1907</v>
      </c>
      <c r="D895">
        <v>24480</v>
      </c>
      <c r="E895">
        <v>12750</v>
      </c>
      <c r="F895">
        <v>24480</v>
      </c>
      <c r="G895" t="str">
        <f t="shared" si="117"/>
        <v>PrincetonOrange</v>
      </c>
      <c r="H895" t="str">
        <f t="shared" si="118"/>
        <v>F58025</v>
      </c>
      <c r="I895" t="str">
        <f t="shared" si="119"/>
        <v>F5</v>
      </c>
      <c r="J895" t="str">
        <f t="shared" si="120"/>
        <v>80</v>
      </c>
      <c r="K895" t="str">
        <f t="shared" si="121"/>
        <v>25</v>
      </c>
      <c r="L895">
        <f t="shared" si="122"/>
        <v>245</v>
      </c>
      <c r="M895">
        <f t="shared" si="123"/>
        <v>128</v>
      </c>
      <c r="N895">
        <f t="shared" si="124"/>
        <v>37</v>
      </c>
      <c r="P895" t="str">
        <f t="shared" si="125"/>
        <v>.PrincetonOrange-bg{background-color:#F58025;}</v>
      </c>
    </row>
    <row r="896" spans="2:16" ht="15.75">
      <c r="B896" s="1" t="s">
        <v>1908</v>
      </c>
      <c r="C896" t="s">
        <v>1841</v>
      </c>
      <c r="D896">
        <v>11220</v>
      </c>
      <c r="E896">
        <v>2805</v>
      </c>
      <c r="F896">
        <v>11220</v>
      </c>
      <c r="G896" t="str">
        <f t="shared" si="117"/>
        <v>Prune</v>
      </c>
      <c r="H896" t="str">
        <f t="shared" si="118"/>
        <v>701C1C</v>
      </c>
      <c r="I896" t="str">
        <f t="shared" si="119"/>
        <v>70</v>
      </c>
      <c r="J896" t="str">
        <f t="shared" si="120"/>
        <v>1C</v>
      </c>
      <c r="K896" t="str">
        <f t="shared" si="121"/>
        <v>1C</v>
      </c>
      <c r="L896">
        <f t="shared" si="122"/>
        <v>112</v>
      </c>
      <c r="M896">
        <f t="shared" si="123"/>
        <v>28</v>
      </c>
      <c r="N896">
        <f t="shared" si="124"/>
        <v>28</v>
      </c>
      <c r="P896" t="str">
        <f t="shared" si="125"/>
        <v>.Prune-bg{background-color:#701C1C;}</v>
      </c>
    </row>
    <row r="897" spans="2:16" ht="15.75">
      <c r="B897" s="1" t="s">
        <v>1909</v>
      </c>
      <c r="C897" t="s">
        <v>1910</v>
      </c>
      <c r="D897">
        <v>0</v>
      </c>
      <c r="E897">
        <v>4845</v>
      </c>
      <c r="F897">
        <v>0</v>
      </c>
      <c r="G897" t="str">
        <f t="shared" si="117"/>
        <v>PrussianBlue</v>
      </c>
      <c r="H897" t="str">
        <f t="shared" si="118"/>
        <v>003153</v>
      </c>
      <c r="I897" t="str">
        <f t="shared" si="119"/>
        <v>00</v>
      </c>
      <c r="J897" t="str">
        <f t="shared" si="120"/>
        <v>31</v>
      </c>
      <c r="K897" t="str">
        <f t="shared" si="121"/>
        <v>53</v>
      </c>
      <c r="L897">
        <f t="shared" si="122"/>
        <v>0</v>
      </c>
      <c r="M897">
        <f t="shared" si="123"/>
        <v>49</v>
      </c>
      <c r="N897">
        <f t="shared" si="124"/>
        <v>83</v>
      </c>
      <c r="P897" t="str">
        <f t="shared" si="125"/>
        <v>.PrussianBlue-bg{background-color:#003153;}</v>
      </c>
    </row>
    <row r="898" spans="2:16" ht="15.75">
      <c r="B898" s="1" t="s">
        <v>1911</v>
      </c>
      <c r="C898" t="s">
        <v>1853</v>
      </c>
      <c r="D898">
        <v>22185</v>
      </c>
      <c r="E898">
        <v>0</v>
      </c>
      <c r="F898">
        <v>22185</v>
      </c>
      <c r="G898" t="str">
        <f t="shared" si="117"/>
        <v>PsychedelicPurple</v>
      </c>
      <c r="H898" t="str">
        <f t="shared" si="118"/>
        <v>DF00FF</v>
      </c>
      <c r="I898" t="str">
        <f t="shared" si="119"/>
        <v>DF</v>
      </c>
      <c r="J898" t="str">
        <f t="shared" si="120"/>
        <v>00</v>
      </c>
      <c r="K898" t="str">
        <f t="shared" si="121"/>
        <v>FF</v>
      </c>
      <c r="L898">
        <f t="shared" si="122"/>
        <v>223</v>
      </c>
      <c r="M898">
        <f t="shared" si="123"/>
        <v>0</v>
      </c>
      <c r="N898">
        <f t="shared" si="124"/>
        <v>255</v>
      </c>
      <c r="P898" t="str">
        <f t="shared" si="125"/>
        <v>.PsychedelicPurple-bg{background-color:#DF00FF;}</v>
      </c>
    </row>
    <row r="899" spans="2:16" ht="15.75">
      <c r="B899" s="1" t="s">
        <v>1912</v>
      </c>
      <c r="C899" t="s">
        <v>1913</v>
      </c>
      <c r="D899">
        <v>20400</v>
      </c>
      <c r="E899">
        <v>13515</v>
      </c>
      <c r="F899">
        <v>20400</v>
      </c>
      <c r="G899" t="str">
        <f t="shared" si="117"/>
        <v>Puce</v>
      </c>
      <c r="H899" t="str">
        <f t="shared" si="118"/>
        <v>CC8899</v>
      </c>
      <c r="I899" t="str">
        <f t="shared" si="119"/>
        <v>CC</v>
      </c>
      <c r="J899" t="str">
        <f t="shared" si="120"/>
        <v>88</v>
      </c>
      <c r="K899" t="str">
        <f t="shared" si="121"/>
        <v>99</v>
      </c>
      <c r="L899">
        <f t="shared" si="122"/>
        <v>204</v>
      </c>
      <c r="M899">
        <f t="shared" si="123"/>
        <v>136</v>
      </c>
      <c r="N899">
        <f t="shared" si="124"/>
        <v>153</v>
      </c>
      <c r="P899" t="str">
        <f t="shared" si="125"/>
        <v>.Puce-bg{background-color:#CC8899;}</v>
      </c>
    </row>
    <row r="900" spans="2:16" ht="15.75">
      <c r="B900" s="1" t="s">
        <v>1914</v>
      </c>
      <c r="C900" t="s">
        <v>1915</v>
      </c>
      <c r="D900">
        <v>11475</v>
      </c>
      <c r="E900">
        <v>4590</v>
      </c>
      <c r="F900">
        <v>11475</v>
      </c>
      <c r="G900" t="str">
        <f t="shared" ref="G900:G963" si="126">SUBSTITUTE(PROPER(AlphaNumericOnly(B900))," ","")</f>
        <v>PuceRed</v>
      </c>
      <c r="H900" t="str">
        <f t="shared" ref="H900:H963" si="127">RIGHT(C900,6)</f>
        <v>722F37</v>
      </c>
      <c r="I900" t="str">
        <f t="shared" ref="I900:I963" si="128">MID($H900,1,2)</f>
        <v>72</v>
      </c>
      <c r="J900" t="str">
        <f t="shared" ref="J900:J963" si="129">MID($H900,3,2)</f>
        <v>2F</v>
      </c>
      <c r="K900" t="str">
        <f t="shared" ref="K900:K963" si="130">MID($H900,5,2)</f>
        <v>37</v>
      </c>
      <c r="L900">
        <f t="shared" ref="L900:L963" si="131">HEX2DEC(I900)</f>
        <v>114</v>
      </c>
      <c r="M900">
        <f t="shared" ref="M900:M963" si="132">HEX2DEC(J900)</f>
        <v>47</v>
      </c>
      <c r="N900">
        <f t="shared" ref="N900:N963" si="133">HEX2DEC(K900)</f>
        <v>55</v>
      </c>
      <c r="P900" t="str">
        <f t="shared" ref="P900:P963" si="134">"."&amp;G900&amp;$P$1&amp;"{"&amp;$P$2&amp;":#"&amp;H900&amp;";}"</f>
        <v>.PuceRed-bg{background-color:#722F37;}</v>
      </c>
    </row>
    <row r="901" spans="2:16" ht="15.75">
      <c r="B901" s="1" t="s">
        <v>1916</v>
      </c>
      <c r="C901" t="s">
        <v>1917</v>
      </c>
      <c r="D901">
        <v>9945</v>
      </c>
      <c r="E901">
        <v>6375</v>
      </c>
      <c r="F901">
        <v>9945</v>
      </c>
      <c r="G901" t="str">
        <f t="shared" si="126"/>
        <v>PullmanBrownUpsBrown</v>
      </c>
      <c r="H901" t="str">
        <f t="shared" si="127"/>
        <v>644117</v>
      </c>
      <c r="I901" t="str">
        <f t="shared" si="128"/>
        <v>64</v>
      </c>
      <c r="J901" t="str">
        <f t="shared" si="129"/>
        <v>41</v>
      </c>
      <c r="K901" t="str">
        <f t="shared" si="130"/>
        <v>17</v>
      </c>
      <c r="L901">
        <f t="shared" si="131"/>
        <v>100</v>
      </c>
      <c r="M901">
        <f t="shared" si="132"/>
        <v>65</v>
      </c>
      <c r="N901">
        <f t="shared" si="133"/>
        <v>23</v>
      </c>
      <c r="P901" t="str">
        <f t="shared" si="134"/>
        <v>.PullmanBrownUpsBrown-bg{background-color:#644117;}</v>
      </c>
    </row>
    <row r="902" spans="2:16" ht="15.75">
      <c r="B902" s="1" t="s">
        <v>1918</v>
      </c>
      <c r="C902" t="s">
        <v>1919</v>
      </c>
      <c r="D902">
        <v>5865</v>
      </c>
      <c r="E902">
        <v>5100</v>
      </c>
      <c r="F902">
        <v>5865</v>
      </c>
      <c r="G902" t="str">
        <f t="shared" si="126"/>
        <v>PullmanGreen</v>
      </c>
      <c r="H902" t="str">
        <f t="shared" si="127"/>
        <v>3B331C</v>
      </c>
      <c r="I902" t="str">
        <f t="shared" si="128"/>
        <v>3B</v>
      </c>
      <c r="J902" t="str">
        <f t="shared" si="129"/>
        <v>33</v>
      </c>
      <c r="K902" t="str">
        <f t="shared" si="130"/>
        <v>1C</v>
      </c>
      <c r="L902">
        <f t="shared" si="131"/>
        <v>59</v>
      </c>
      <c r="M902">
        <f t="shared" si="132"/>
        <v>51</v>
      </c>
      <c r="N902">
        <f t="shared" si="133"/>
        <v>28</v>
      </c>
      <c r="P902" t="str">
        <f t="shared" si="134"/>
        <v>.PullmanGreen-bg{background-color:#3B331C;}</v>
      </c>
    </row>
    <row r="903" spans="2:16" ht="15.75">
      <c r="B903" s="1" t="s">
        <v>1920</v>
      </c>
      <c r="C903" t="s">
        <v>1921</v>
      </c>
      <c r="D903">
        <v>25500</v>
      </c>
      <c r="E903">
        <v>11730</v>
      </c>
      <c r="F903">
        <v>25500</v>
      </c>
      <c r="G903" t="str">
        <f t="shared" si="126"/>
        <v>Pumpkin</v>
      </c>
      <c r="H903" t="str">
        <f t="shared" si="127"/>
        <v>FF7518</v>
      </c>
      <c r="I903" t="str">
        <f t="shared" si="128"/>
        <v>FF</v>
      </c>
      <c r="J903" t="str">
        <f t="shared" si="129"/>
        <v>75</v>
      </c>
      <c r="K903" t="str">
        <f t="shared" si="130"/>
        <v>18</v>
      </c>
      <c r="L903">
        <f t="shared" si="131"/>
        <v>255</v>
      </c>
      <c r="M903">
        <f t="shared" si="132"/>
        <v>117</v>
      </c>
      <c r="N903">
        <f t="shared" si="133"/>
        <v>24</v>
      </c>
      <c r="P903" t="str">
        <f t="shared" si="134"/>
        <v>.Pumpkin-bg{background-color:#FF7518;}</v>
      </c>
    </row>
    <row r="904" spans="2:16" ht="15.75">
      <c r="B904" s="1" t="s">
        <v>1922</v>
      </c>
      <c r="C904" t="s">
        <v>1807</v>
      </c>
      <c r="D904">
        <v>12750</v>
      </c>
      <c r="E904">
        <v>0</v>
      </c>
      <c r="F904">
        <v>12750</v>
      </c>
      <c r="G904" t="str">
        <f t="shared" si="126"/>
        <v>PurpleHtml</v>
      </c>
      <c r="H904" t="str">
        <f t="shared" si="127"/>
        <v>800080</v>
      </c>
      <c r="I904" t="str">
        <f t="shared" si="128"/>
        <v>80</v>
      </c>
      <c r="J904" t="str">
        <f t="shared" si="129"/>
        <v>00</v>
      </c>
      <c r="K904" t="str">
        <f t="shared" si="130"/>
        <v>80</v>
      </c>
      <c r="L904">
        <f t="shared" si="131"/>
        <v>128</v>
      </c>
      <c r="M904">
        <f t="shared" si="132"/>
        <v>0</v>
      </c>
      <c r="N904">
        <f t="shared" si="133"/>
        <v>128</v>
      </c>
      <c r="P904" t="str">
        <f t="shared" si="134"/>
        <v>.PurpleHtml-bg{background-color:#800080;}</v>
      </c>
    </row>
    <row r="905" spans="2:16" ht="15.75">
      <c r="B905" s="1" t="s">
        <v>1923</v>
      </c>
      <c r="C905" t="s">
        <v>1924</v>
      </c>
      <c r="D905">
        <v>15810</v>
      </c>
      <c r="E905">
        <v>0</v>
      </c>
      <c r="F905">
        <v>15810</v>
      </c>
      <c r="G905" t="str">
        <f t="shared" si="126"/>
        <v>PurpleMunsell</v>
      </c>
      <c r="H905" t="str">
        <f t="shared" si="127"/>
        <v>9F00C5</v>
      </c>
      <c r="I905" t="str">
        <f t="shared" si="128"/>
        <v>9F</v>
      </c>
      <c r="J905" t="str">
        <f t="shared" si="129"/>
        <v>00</v>
      </c>
      <c r="K905" t="str">
        <f t="shared" si="130"/>
        <v>C5</v>
      </c>
      <c r="L905">
        <f t="shared" si="131"/>
        <v>159</v>
      </c>
      <c r="M905">
        <f t="shared" si="132"/>
        <v>0</v>
      </c>
      <c r="N905">
        <f t="shared" si="133"/>
        <v>197</v>
      </c>
      <c r="P905" t="str">
        <f t="shared" si="134"/>
        <v>.PurpleMunsell-bg{background-color:#9F00C5;}</v>
      </c>
    </row>
    <row r="906" spans="2:16" ht="15.75">
      <c r="B906" s="1" t="s">
        <v>1925</v>
      </c>
      <c r="C906" t="s">
        <v>1926</v>
      </c>
      <c r="D906">
        <v>16065</v>
      </c>
      <c r="E906">
        <v>3315</v>
      </c>
      <c r="F906">
        <v>16065</v>
      </c>
      <c r="G906" t="str">
        <f t="shared" si="126"/>
        <v>PurpleX11</v>
      </c>
      <c r="H906" t="str">
        <f t="shared" si="127"/>
        <v>A020F0</v>
      </c>
      <c r="I906" t="str">
        <f t="shared" si="128"/>
        <v>A0</v>
      </c>
      <c r="J906" t="str">
        <f t="shared" si="129"/>
        <v>20</v>
      </c>
      <c r="K906" t="str">
        <f t="shared" si="130"/>
        <v>F0</v>
      </c>
      <c r="L906">
        <f t="shared" si="131"/>
        <v>160</v>
      </c>
      <c r="M906">
        <f t="shared" si="132"/>
        <v>32</v>
      </c>
      <c r="N906">
        <f t="shared" si="133"/>
        <v>240</v>
      </c>
      <c r="P906" t="str">
        <f t="shared" si="134"/>
        <v>.PurpleX11-bg{background-color:#A020F0;}</v>
      </c>
    </row>
    <row r="907" spans="2:16" ht="15.75">
      <c r="B907" s="1" t="s">
        <v>1927</v>
      </c>
      <c r="C907" t="s">
        <v>1928</v>
      </c>
      <c r="D907">
        <v>10455</v>
      </c>
      <c r="E907">
        <v>5355</v>
      </c>
      <c r="F907">
        <v>10455</v>
      </c>
      <c r="G907" t="str">
        <f t="shared" si="126"/>
        <v>PurpleHeart</v>
      </c>
      <c r="H907" t="str">
        <f t="shared" si="127"/>
        <v>69359C</v>
      </c>
      <c r="I907" t="str">
        <f t="shared" si="128"/>
        <v>69</v>
      </c>
      <c r="J907" t="str">
        <f t="shared" si="129"/>
        <v>35</v>
      </c>
      <c r="K907" t="str">
        <f t="shared" si="130"/>
        <v>9C</v>
      </c>
      <c r="L907">
        <f t="shared" si="131"/>
        <v>105</v>
      </c>
      <c r="M907">
        <f t="shared" si="132"/>
        <v>53</v>
      </c>
      <c r="N907">
        <f t="shared" si="133"/>
        <v>156</v>
      </c>
      <c r="P907" t="str">
        <f t="shared" si="134"/>
        <v>.PurpleHeart-bg{background-color:#69359C;}</v>
      </c>
    </row>
    <row r="908" spans="2:16" ht="15.75">
      <c r="B908" s="1" t="s">
        <v>1929</v>
      </c>
      <c r="C908" t="s">
        <v>1930</v>
      </c>
      <c r="D908">
        <v>15045</v>
      </c>
      <c r="E908">
        <v>11985</v>
      </c>
      <c r="F908">
        <v>15045</v>
      </c>
      <c r="G908" t="str">
        <f t="shared" si="126"/>
        <v>PurpleMountainMajesty</v>
      </c>
      <c r="H908" t="str">
        <f t="shared" si="127"/>
        <v>9678B6</v>
      </c>
      <c r="I908" t="str">
        <f t="shared" si="128"/>
        <v>96</v>
      </c>
      <c r="J908" t="str">
        <f t="shared" si="129"/>
        <v>78</v>
      </c>
      <c r="K908" t="str">
        <f t="shared" si="130"/>
        <v>B6</v>
      </c>
      <c r="L908">
        <f t="shared" si="131"/>
        <v>150</v>
      </c>
      <c r="M908">
        <f t="shared" si="132"/>
        <v>120</v>
      </c>
      <c r="N908">
        <f t="shared" si="133"/>
        <v>182</v>
      </c>
      <c r="P908" t="str">
        <f t="shared" si="134"/>
        <v>.PurpleMountainMajesty-bg{background-color:#9678B6;}</v>
      </c>
    </row>
    <row r="909" spans="2:16" ht="15.75">
      <c r="B909" s="1" t="s">
        <v>1931</v>
      </c>
      <c r="C909" t="s">
        <v>1932</v>
      </c>
      <c r="D909">
        <v>7905</v>
      </c>
      <c r="E909">
        <v>8160</v>
      </c>
      <c r="F909">
        <v>7905</v>
      </c>
      <c r="G909" t="str">
        <f t="shared" si="126"/>
        <v>PurpleNavy</v>
      </c>
      <c r="H909" t="str">
        <f t="shared" si="127"/>
        <v>4E5180</v>
      </c>
      <c r="I909" t="str">
        <f t="shared" si="128"/>
        <v>4E</v>
      </c>
      <c r="J909" t="str">
        <f t="shared" si="129"/>
        <v>51</v>
      </c>
      <c r="K909" t="str">
        <f t="shared" si="130"/>
        <v>80</v>
      </c>
      <c r="L909">
        <f t="shared" si="131"/>
        <v>78</v>
      </c>
      <c r="M909">
        <f t="shared" si="132"/>
        <v>81</v>
      </c>
      <c r="N909">
        <f t="shared" si="133"/>
        <v>128</v>
      </c>
      <c r="P909" t="str">
        <f t="shared" si="134"/>
        <v>.PurpleNavy-bg{background-color:#4E5180;}</v>
      </c>
    </row>
    <row r="910" spans="2:16" ht="15.75">
      <c r="B910" s="1" t="s">
        <v>1933</v>
      </c>
      <c r="C910" t="s">
        <v>1934</v>
      </c>
      <c r="D910">
        <v>25500</v>
      </c>
      <c r="E910">
        <v>7905</v>
      </c>
      <c r="F910">
        <v>25500</v>
      </c>
      <c r="G910" t="str">
        <f t="shared" si="126"/>
        <v>PurplePizzazz</v>
      </c>
      <c r="H910" t="str">
        <f t="shared" si="127"/>
        <v>FE4EDA</v>
      </c>
      <c r="I910" t="str">
        <f t="shared" si="128"/>
        <v>FE</v>
      </c>
      <c r="J910" t="str">
        <f t="shared" si="129"/>
        <v>4E</v>
      </c>
      <c r="K910" t="str">
        <f t="shared" si="130"/>
        <v>DA</v>
      </c>
      <c r="L910">
        <f t="shared" si="131"/>
        <v>254</v>
      </c>
      <c r="M910">
        <f t="shared" si="132"/>
        <v>78</v>
      </c>
      <c r="N910">
        <f t="shared" si="133"/>
        <v>218</v>
      </c>
      <c r="P910" t="str">
        <f t="shared" si="134"/>
        <v>.PurplePizzazz-bg{background-color:#FE4EDA;}</v>
      </c>
    </row>
    <row r="911" spans="2:16" ht="15.75">
      <c r="B911" s="1" t="s">
        <v>1935</v>
      </c>
      <c r="C911" t="s">
        <v>1936</v>
      </c>
      <c r="D911">
        <v>15555</v>
      </c>
      <c r="E911">
        <v>8160</v>
      </c>
      <c r="F911">
        <v>15555</v>
      </c>
      <c r="G911" t="str">
        <f t="shared" si="126"/>
        <v>PurplePlum</v>
      </c>
      <c r="H911" t="str">
        <f t="shared" si="127"/>
        <v>9C51B6</v>
      </c>
      <c r="I911" t="str">
        <f t="shared" si="128"/>
        <v>9C</v>
      </c>
      <c r="J911" t="str">
        <f t="shared" si="129"/>
        <v>51</v>
      </c>
      <c r="K911" t="str">
        <f t="shared" si="130"/>
        <v>B6</v>
      </c>
      <c r="L911">
        <f t="shared" si="131"/>
        <v>156</v>
      </c>
      <c r="M911">
        <f t="shared" si="132"/>
        <v>81</v>
      </c>
      <c r="N911">
        <f t="shared" si="133"/>
        <v>182</v>
      </c>
      <c r="P911" t="str">
        <f t="shared" si="134"/>
        <v>.PurplePlum-bg{background-color:#9C51B6;}</v>
      </c>
    </row>
    <row r="912" spans="2:16" ht="15.75">
      <c r="B912" s="1" t="s">
        <v>1937</v>
      </c>
      <c r="C912" t="s">
        <v>1938</v>
      </c>
      <c r="D912">
        <v>7905</v>
      </c>
      <c r="E912">
        <v>6375</v>
      </c>
      <c r="F912">
        <v>7905</v>
      </c>
      <c r="G912" t="str">
        <f t="shared" si="126"/>
        <v>PurpleTaupe</v>
      </c>
      <c r="H912" t="str">
        <f t="shared" si="127"/>
        <v>50404D</v>
      </c>
      <c r="I912" t="str">
        <f t="shared" si="128"/>
        <v>50</v>
      </c>
      <c r="J912" t="str">
        <f t="shared" si="129"/>
        <v>40</v>
      </c>
      <c r="K912" t="str">
        <f t="shared" si="130"/>
        <v>4D</v>
      </c>
      <c r="L912">
        <f t="shared" si="131"/>
        <v>80</v>
      </c>
      <c r="M912">
        <f t="shared" si="132"/>
        <v>64</v>
      </c>
      <c r="N912">
        <f t="shared" si="133"/>
        <v>77</v>
      </c>
      <c r="P912" t="str">
        <f t="shared" si="134"/>
        <v>.PurpleTaupe-bg{background-color:#50404D;}</v>
      </c>
    </row>
    <row r="913" spans="2:16" ht="15.75">
      <c r="B913" s="1" t="s">
        <v>1939</v>
      </c>
      <c r="C913" t="s">
        <v>1940</v>
      </c>
      <c r="D913">
        <v>15300</v>
      </c>
      <c r="E913">
        <v>7905</v>
      </c>
      <c r="F913">
        <v>15300</v>
      </c>
      <c r="G913" t="str">
        <f t="shared" si="126"/>
        <v>Purpureus</v>
      </c>
      <c r="H913" t="str">
        <f t="shared" si="127"/>
        <v>9A4EAE</v>
      </c>
      <c r="I913" t="str">
        <f t="shared" si="128"/>
        <v>9A</v>
      </c>
      <c r="J913" t="str">
        <f t="shared" si="129"/>
        <v>4E</v>
      </c>
      <c r="K913" t="str">
        <f t="shared" si="130"/>
        <v>AE</v>
      </c>
      <c r="L913">
        <f t="shared" si="131"/>
        <v>154</v>
      </c>
      <c r="M913">
        <f t="shared" si="132"/>
        <v>78</v>
      </c>
      <c r="N913">
        <f t="shared" si="133"/>
        <v>174</v>
      </c>
      <c r="P913" t="str">
        <f t="shared" si="134"/>
        <v>.Purpureus-bg{background-color:#9A4EAE;}</v>
      </c>
    </row>
    <row r="914" spans="2:16" ht="15.75">
      <c r="B914" s="1" t="s">
        <v>1941</v>
      </c>
      <c r="C914" t="s">
        <v>1942</v>
      </c>
      <c r="D914">
        <v>8160</v>
      </c>
      <c r="E914">
        <v>7140</v>
      </c>
      <c r="F914">
        <v>8160</v>
      </c>
      <c r="G914" t="str">
        <f t="shared" si="126"/>
        <v>Quartz</v>
      </c>
      <c r="H914" t="str">
        <f t="shared" si="127"/>
        <v>51484F</v>
      </c>
      <c r="I914" t="str">
        <f t="shared" si="128"/>
        <v>51</v>
      </c>
      <c r="J914" t="str">
        <f t="shared" si="129"/>
        <v>48</v>
      </c>
      <c r="K914" t="str">
        <f t="shared" si="130"/>
        <v>4F</v>
      </c>
      <c r="L914">
        <f t="shared" si="131"/>
        <v>81</v>
      </c>
      <c r="M914">
        <f t="shared" si="132"/>
        <v>72</v>
      </c>
      <c r="N914">
        <f t="shared" si="133"/>
        <v>79</v>
      </c>
      <c r="P914" t="str">
        <f t="shared" si="134"/>
        <v>.Quartz-bg{background-color:#51484F;}</v>
      </c>
    </row>
    <row r="915" spans="2:16" ht="15.75">
      <c r="B915" s="1" t="s">
        <v>1943</v>
      </c>
      <c r="C915" t="s">
        <v>1944</v>
      </c>
      <c r="D915">
        <v>6630</v>
      </c>
      <c r="E915">
        <v>10710</v>
      </c>
      <c r="F915">
        <v>6630</v>
      </c>
      <c r="G915" t="str">
        <f t="shared" si="126"/>
        <v>QueenBlue</v>
      </c>
      <c r="H915" t="str">
        <f t="shared" si="127"/>
        <v>436B95</v>
      </c>
      <c r="I915" t="str">
        <f t="shared" si="128"/>
        <v>43</v>
      </c>
      <c r="J915" t="str">
        <f t="shared" si="129"/>
        <v>6B</v>
      </c>
      <c r="K915" t="str">
        <f t="shared" si="130"/>
        <v>95</v>
      </c>
      <c r="L915">
        <f t="shared" si="131"/>
        <v>67</v>
      </c>
      <c r="M915">
        <f t="shared" si="132"/>
        <v>107</v>
      </c>
      <c r="N915">
        <f t="shared" si="133"/>
        <v>149</v>
      </c>
      <c r="P915" t="str">
        <f t="shared" si="134"/>
        <v>.QueenBlue-bg{background-color:#436B95;}</v>
      </c>
    </row>
    <row r="916" spans="2:16" ht="15.75">
      <c r="B916" s="1" t="s">
        <v>1945</v>
      </c>
      <c r="C916" t="s">
        <v>1946</v>
      </c>
      <c r="D916">
        <v>23205</v>
      </c>
      <c r="E916">
        <v>20400</v>
      </c>
      <c r="F916">
        <v>23205</v>
      </c>
      <c r="G916" t="str">
        <f t="shared" si="126"/>
        <v>QueenPink</v>
      </c>
      <c r="H916" t="str">
        <f t="shared" si="127"/>
        <v>E8CCD7</v>
      </c>
      <c r="I916" t="str">
        <f t="shared" si="128"/>
        <v>E8</v>
      </c>
      <c r="J916" t="str">
        <f t="shared" si="129"/>
        <v>CC</v>
      </c>
      <c r="K916" t="str">
        <f t="shared" si="130"/>
        <v>D7</v>
      </c>
      <c r="L916">
        <f t="shared" si="131"/>
        <v>232</v>
      </c>
      <c r="M916">
        <f t="shared" si="132"/>
        <v>204</v>
      </c>
      <c r="N916">
        <f t="shared" si="133"/>
        <v>215</v>
      </c>
      <c r="P916" t="str">
        <f t="shared" si="134"/>
        <v>.QueenPink-bg{background-color:#E8CCD7;}</v>
      </c>
    </row>
    <row r="917" spans="2:16" ht="15.75">
      <c r="B917" s="1" t="s">
        <v>1947</v>
      </c>
      <c r="C917" t="s">
        <v>1948</v>
      </c>
      <c r="D917">
        <v>16575</v>
      </c>
      <c r="E917">
        <v>16575</v>
      </c>
      <c r="F917">
        <v>16575</v>
      </c>
      <c r="G917" t="str">
        <f t="shared" si="126"/>
        <v>QuickSilver</v>
      </c>
      <c r="H917" t="str">
        <f t="shared" si="127"/>
        <v>A6A6A6</v>
      </c>
      <c r="I917" t="str">
        <f t="shared" si="128"/>
        <v>A6</v>
      </c>
      <c r="J917" t="str">
        <f t="shared" si="129"/>
        <v>A6</v>
      </c>
      <c r="K917" t="str">
        <f t="shared" si="130"/>
        <v>A6</v>
      </c>
      <c r="L917">
        <f t="shared" si="131"/>
        <v>166</v>
      </c>
      <c r="M917">
        <f t="shared" si="132"/>
        <v>166</v>
      </c>
      <c r="N917">
        <f t="shared" si="133"/>
        <v>166</v>
      </c>
      <c r="P917" t="str">
        <f t="shared" si="134"/>
        <v>.QuickSilver-bg{background-color:#A6A6A6;}</v>
      </c>
    </row>
    <row r="918" spans="2:16" ht="15.75">
      <c r="B918" s="1" t="s">
        <v>1949</v>
      </c>
      <c r="C918" t="s">
        <v>1950</v>
      </c>
      <c r="D918">
        <v>14280</v>
      </c>
      <c r="E918">
        <v>5865</v>
      </c>
      <c r="F918">
        <v>14280</v>
      </c>
      <c r="G918" t="str">
        <f t="shared" si="126"/>
        <v>QuinacridoneMagenta</v>
      </c>
      <c r="H918" t="str">
        <f t="shared" si="127"/>
        <v>8E3A59</v>
      </c>
      <c r="I918" t="str">
        <f t="shared" si="128"/>
        <v>8E</v>
      </c>
      <c r="J918" t="str">
        <f t="shared" si="129"/>
        <v>3A</v>
      </c>
      <c r="K918" t="str">
        <f t="shared" si="130"/>
        <v>59</v>
      </c>
      <c r="L918">
        <f t="shared" si="131"/>
        <v>142</v>
      </c>
      <c r="M918">
        <f t="shared" si="132"/>
        <v>58</v>
      </c>
      <c r="N918">
        <f t="shared" si="133"/>
        <v>89</v>
      </c>
      <c r="P918" t="str">
        <f t="shared" si="134"/>
        <v>.QuinacridoneMagenta-bg{background-color:#8E3A59;}</v>
      </c>
    </row>
    <row r="919" spans="2:16" ht="15.75">
      <c r="B919" s="1" t="s">
        <v>1951</v>
      </c>
      <c r="C919" t="s">
        <v>215</v>
      </c>
      <c r="D919">
        <v>9180</v>
      </c>
      <c r="E919">
        <v>13770</v>
      </c>
      <c r="F919">
        <v>9180</v>
      </c>
      <c r="G919" t="str">
        <f t="shared" si="126"/>
        <v>Rackley</v>
      </c>
      <c r="H919" t="str">
        <f t="shared" si="127"/>
        <v>5D8AA8</v>
      </c>
      <c r="I919" t="str">
        <f t="shared" si="128"/>
        <v>5D</v>
      </c>
      <c r="J919" t="str">
        <f t="shared" si="129"/>
        <v>8A</v>
      </c>
      <c r="K919" t="str">
        <f t="shared" si="130"/>
        <v>A8</v>
      </c>
      <c r="L919">
        <f t="shared" si="131"/>
        <v>93</v>
      </c>
      <c r="M919">
        <f t="shared" si="132"/>
        <v>138</v>
      </c>
      <c r="N919">
        <f t="shared" si="133"/>
        <v>168</v>
      </c>
      <c r="P919" t="str">
        <f t="shared" si="134"/>
        <v>.Rackley-bg{background-color:#5D8AA8;}</v>
      </c>
    </row>
    <row r="920" spans="2:16" ht="15.75">
      <c r="B920" s="1" t="s">
        <v>1952</v>
      </c>
      <c r="C920" t="s">
        <v>1953</v>
      </c>
      <c r="D920">
        <v>25500</v>
      </c>
      <c r="E920">
        <v>5355</v>
      </c>
      <c r="F920">
        <v>25500</v>
      </c>
      <c r="G920" t="str">
        <f t="shared" si="126"/>
        <v>RadicalRed</v>
      </c>
      <c r="H920" t="str">
        <f t="shared" si="127"/>
        <v>FF355E</v>
      </c>
      <c r="I920" t="str">
        <f t="shared" si="128"/>
        <v>FF</v>
      </c>
      <c r="J920" t="str">
        <f t="shared" si="129"/>
        <v>35</v>
      </c>
      <c r="K920" t="str">
        <f t="shared" si="130"/>
        <v>5E</v>
      </c>
      <c r="L920">
        <f t="shared" si="131"/>
        <v>255</v>
      </c>
      <c r="M920">
        <f t="shared" si="132"/>
        <v>53</v>
      </c>
      <c r="N920">
        <f t="shared" si="133"/>
        <v>94</v>
      </c>
      <c r="P920" t="str">
        <f t="shared" si="134"/>
        <v>.RadicalRed-bg{background-color:#FF355E;}</v>
      </c>
    </row>
    <row r="921" spans="2:16" ht="15.75">
      <c r="B921" s="1" t="s">
        <v>1954</v>
      </c>
      <c r="C921" t="s">
        <v>1955</v>
      </c>
      <c r="D921">
        <v>3570</v>
      </c>
      <c r="E921">
        <v>3315</v>
      </c>
      <c r="F921">
        <v>3570</v>
      </c>
      <c r="G921" t="str">
        <f t="shared" si="126"/>
        <v>RaisinBlack</v>
      </c>
      <c r="H921" t="str">
        <f t="shared" si="127"/>
        <v>242124</v>
      </c>
      <c r="I921" t="str">
        <f t="shared" si="128"/>
        <v>24</v>
      </c>
      <c r="J921" t="str">
        <f t="shared" si="129"/>
        <v>21</v>
      </c>
      <c r="K921" t="str">
        <f t="shared" si="130"/>
        <v>24</v>
      </c>
      <c r="L921">
        <f t="shared" si="131"/>
        <v>36</v>
      </c>
      <c r="M921">
        <f t="shared" si="132"/>
        <v>33</v>
      </c>
      <c r="N921">
        <f t="shared" si="133"/>
        <v>36</v>
      </c>
      <c r="P921" t="str">
        <f t="shared" si="134"/>
        <v>.RaisinBlack-bg{background-color:#242124;}</v>
      </c>
    </row>
    <row r="922" spans="2:16" ht="15.75">
      <c r="B922" s="1" t="s">
        <v>1956</v>
      </c>
      <c r="C922" t="s">
        <v>1957</v>
      </c>
      <c r="D922">
        <v>24990</v>
      </c>
      <c r="E922">
        <v>17085</v>
      </c>
      <c r="F922">
        <v>24990</v>
      </c>
      <c r="G922" t="str">
        <f t="shared" si="126"/>
        <v>Rajah</v>
      </c>
      <c r="H922" t="str">
        <f t="shared" si="127"/>
        <v>FBAB60</v>
      </c>
      <c r="I922" t="str">
        <f t="shared" si="128"/>
        <v>FB</v>
      </c>
      <c r="J922" t="str">
        <f t="shared" si="129"/>
        <v>AB</v>
      </c>
      <c r="K922" t="str">
        <f t="shared" si="130"/>
        <v>60</v>
      </c>
      <c r="L922">
        <f t="shared" si="131"/>
        <v>251</v>
      </c>
      <c r="M922">
        <f t="shared" si="132"/>
        <v>171</v>
      </c>
      <c r="N922">
        <f t="shared" si="133"/>
        <v>96</v>
      </c>
      <c r="P922" t="str">
        <f t="shared" si="134"/>
        <v>.Rajah-bg{background-color:#FBAB60;}</v>
      </c>
    </row>
    <row r="923" spans="2:16" ht="15.75">
      <c r="B923" s="1" t="s">
        <v>1958</v>
      </c>
      <c r="C923" t="s">
        <v>1959</v>
      </c>
      <c r="D923">
        <v>22695</v>
      </c>
      <c r="E923">
        <v>1020</v>
      </c>
      <c r="F923">
        <v>22695</v>
      </c>
      <c r="G923" t="str">
        <f t="shared" si="126"/>
        <v>Raspberry</v>
      </c>
      <c r="H923" t="str">
        <f t="shared" si="127"/>
        <v>E30B5D</v>
      </c>
      <c r="I923" t="str">
        <f t="shared" si="128"/>
        <v>E3</v>
      </c>
      <c r="J923" t="str">
        <f t="shared" si="129"/>
        <v>0B</v>
      </c>
      <c r="K923" t="str">
        <f t="shared" si="130"/>
        <v>5D</v>
      </c>
      <c r="L923">
        <f t="shared" si="131"/>
        <v>227</v>
      </c>
      <c r="M923">
        <f t="shared" si="132"/>
        <v>11</v>
      </c>
      <c r="N923">
        <f t="shared" si="133"/>
        <v>93</v>
      </c>
      <c r="P923" t="str">
        <f t="shared" si="134"/>
        <v>.Raspberry-bg{background-color:#E30B5D;}</v>
      </c>
    </row>
    <row r="924" spans="2:16" ht="15.75">
      <c r="B924" s="1" t="s">
        <v>1960</v>
      </c>
      <c r="C924" t="s">
        <v>1504</v>
      </c>
      <c r="D924">
        <v>14535</v>
      </c>
      <c r="E924">
        <v>9435</v>
      </c>
      <c r="F924">
        <v>14535</v>
      </c>
      <c r="G924" t="str">
        <f t="shared" si="126"/>
        <v>RaspberryGlace</v>
      </c>
      <c r="H924" t="str">
        <f t="shared" si="127"/>
        <v>915F6D</v>
      </c>
      <c r="I924" t="str">
        <f t="shared" si="128"/>
        <v>91</v>
      </c>
      <c r="J924" t="str">
        <f t="shared" si="129"/>
        <v>5F</v>
      </c>
      <c r="K924" t="str">
        <f t="shared" si="130"/>
        <v>6D</v>
      </c>
      <c r="L924">
        <f t="shared" si="131"/>
        <v>145</v>
      </c>
      <c r="M924">
        <f t="shared" si="132"/>
        <v>95</v>
      </c>
      <c r="N924">
        <f t="shared" si="133"/>
        <v>109</v>
      </c>
      <c r="P924" t="str">
        <f t="shared" si="134"/>
        <v>.RaspberryGlace-bg{background-color:#915F6D;}</v>
      </c>
    </row>
    <row r="925" spans="2:16" ht="15.75">
      <c r="B925" s="1" t="s">
        <v>1961</v>
      </c>
      <c r="C925" t="s">
        <v>1962</v>
      </c>
      <c r="D925">
        <v>22695</v>
      </c>
      <c r="E925">
        <v>7905</v>
      </c>
      <c r="F925">
        <v>22695</v>
      </c>
      <c r="G925" t="str">
        <f t="shared" si="126"/>
        <v>RaspberryPink</v>
      </c>
      <c r="H925" t="str">
        <f t="shared" si="127"/>
        <v>E25098</v>
      </c>
      <c r="I925" t="str">
        <f t="shared" si="128"/>
        <v>E2</v>
      </c>
      <c r="J925" t="str">
        <f t="shared" si="129"/>
        <v>50</v>
      </c>
      <c r="K925" t="str">
        <f t="shared" si="130"/>
        <v>98</v>
      </c>
      <c r="L925">
        <f t="shared" si="131"/>
        <v>226</v>
      </c>
      <c r="M925">
        <f t="shared" si="132"/>
        <v>80</v>
      </c>
      <c r="N925">
        <f t="shared" si="133"/>
        <v>152</v>
      </c>
      <c r="P925" t="str">
        <f t="shared" si="134"/>
        <v>.RaspberryPink-bg{background-color:#E25098;}</v>
      </c>
    </row>
    <row r="926" spans="2:16" ht="15.75">
      <c r="B926" s="1" t="s">
        <v>1963</v>
      </c>
      <c r="C926" t="s">
        <v>1252</v>
      </c>
      <c r="D926">
        <v>17850</v>
      </c>
      <c r="E926">
        <v>6885</v>
      </c>
      <c r="F926">
        <v>17850</v>
      </c>
      <c r="G926" t="str">
        <f t="shared" si="126"/>
        <v>RaspberryRose</v>
      </c>
      <c r="H926" t="str">
        <f t="shared" si="127"/>
        <v>B3446C</v>
      </c>
      <c r="I926" t="str">
        <f t="shared" si="128"/>
        <v>B3</v>
      </c>
      <c r="J926" t="str">
        <f t="shared" si="129"/>
        <v>44</v>
      </c>
      <c r="K926" t="str">
        <f t="shared" si="130"/>
        <v>6C</v>
      </c>
      <c r="L926">
        <f t="shared" si="131"/>
        <v>179</v>
      </c>
      <c r="M926">
        <f t="shared" si="132"/>
        <v>68</v>
      </c>
      <c r="N926">
        <f t="shared" si="133"/>
        <v>108</v>
      </c>
      <c r="P926" t="str">
        <f t="shared" si="134"/>
        <v>.RaspberryRose-bg{background-color:#B3446C;}</v>
      </c>
    </row>
    <row r="927" spans="2:16" ht="15.75">
      <c r="B927" s="1" t="s">
        <v>1964</v>
      </c>
      <c r="C927" t="s">
        <v>1965</v>
      </c>
      <c r="D927">
        <v>21420</v>
      </c>
      <c r="E927">
        <v>13770</v>
      </c>
      <c r="F927">
        <v>21420</v>
      </c>
      <c r="G927" t="str">
        <f t="shared" si="126"/>
        <v>RawSienna</v>
      </c>
      <c r="H927" t="str">
        <f t="shared" si="127"/>
        <v>D68A59</v>
      </c>
      <c r="I927" t="str">
        <f t="shared" si="128"/>
        <v>D6</v>
      </c>
      <c r="J927" t="str">
        <f t="shared" si="129"/>
        <v>8A</v>
      </c>
      <c r="K927" t="str">
        <f t="shared" si="130"/>
        <v>59</v>
      </c>
      <c r="L927">
        <f t="shared" si="131"/>
        <v>214</v>
      </c>
      <c r="M927">
        <f t="shared" si="132"/>
        <v>138</v>
      </c>
      <c r="N927">
        <f t="shared" si="133"/>
        <v>89</v>
      </c>
      <c r="P927" t="str">
        <f t="shared" si="134"/>
        <v>.RawSienna-bg{background-color:#D68A59;}</v>
      </c>
    </row>
    <row r="928" spans="2:16" ht="15.75">
      <c r="B928" s="1" t="s">
        <v>1966</v>
      </c>
      <c r="C928" t="s">
        <v>1967</v>
      </c>
      <c r="D928">
        <v>13005</v>
      </c>
      <c r="E928">
        <v>10200</v>
      </c>
      <c r="F928">
        <v>13005</v>
      </c>
      <c r="G928" t="str">
        <f t="shared" si="126"/>
        <v>RawUmber</v>
      </c>
      <c r="H928" t="str">
        <f t="shared" si="127"/>
        <v>826644</v>
      </c>
      <c r="I928" t="str">
        <f t="shared" si="128"/>
        <v>82</v>
      </c>
      <c r="J928" t="str">
        <f t="shared" si="129"/>
        <v>66</v>
      </c>
      <c r="K928" t="str">
        <f t="shared" si="130"/>
        <v>44</v>
      </c>
      <c r="L928">
        <f t="shared" si="131"/>
        <v>130</v>
      </c>
      <c r="M928">
        <f t="shared" si="132"/>
        <v>102</v>
      </c>
      <c r="N928">
        <f t="shared" si="133"/>
        <v>68</v>
      </c>
      <c r="P928" t="str">
        <f t="shared" si="134"/>
        <v>.RawUmber-bg{background-color:#826644;}</v>
      </c>
    </row>
    <row r="929" spans="2:16" ht="15.75">
      <c r="B929" s="1" t="s">
        <v>1968</v>
      </c>
      <c r="C929" t="s">
        <v>1969</v>
      </c>
      <c r="D929">
        <v>25500</v>
      </c>
      <c r="E929">
        <v>5100</v>
      </c>
      <c r="F929">
        <v>25500</v>
      </c>
      <c r="G929" t="str">
        <f t="shared" si="126"/>
        <v>RazzleDazzleRose</v>
      </c>
      <c r="H929" t="str">
        <f t="shared" si="127"/>
        <v>FF33CC</v>
      </c>
      <c r="I929" t="str">
        <f t="shared" si="128"/>
        <v>FF</v>
      </c>
      <c r="J929" t="str">
        <f t="shared" si="129"/>
        <v>33</v>
      </c>
      <c r="K929" t="str">
        <f t="shared" si="130"/>
        <v>CC</v>
      </c>
      <c r="L929">
        <f t="shared" si="131"/>
        <v>255</v>
      </c>
      <c r="M929">
        <f t="shared" si="132"/>
        <v>51</v>
      </c>
      <c r="N929">
        <f t="shared" si="133"/>
        <v>204</v>
      </c>
      <c r="P929" t="str">
        <f t="shared" si="134"/>
        <v>.RazzleDazzleRose-bg{background-color:#FF33CC;}</v>
      </c>
    </row>
    <row r="930" spans="2:16" ht="15.75">
      <c r="B930" s="1" t="s">
        <v>1970</v>
      </c>
      <c r="C930" t="s">
        <v>1971</v>
      </c>
      <c r="D930">
        <v>22695</v>
      </c>
      <c r="E930">
        <v>3825</v>
      </c>
      <c r="F930">
        <v>22695</v>
      </c>
      <c r="G930" t="str">
        <f t="shared" si="126"/>
        <v>Razzmatazz</v>
      </c>
      <c r="H930" t="str">
        <f t="shared" si="127"/>
        <v>E3256B</v>
      </c>
      <c r="I930" t="str">
        <f t="shared" si="128"/>
        <v>E3</v>
      </c>
      <c r="J930" t="str">
        <f t="shared" si="129"/>
        <v>25</v>
      </c>
      <c r="K930" t="str">
        <f t="shared" si="130"/>
        <v>6B</v>
      </c>
      <c r="L930">
        <f t="shared" si="131"/>
        <v>227</v>
      </c>
      <c r="M930">
        <f t="shared" si="132"/>
        <v>37</v>
      </c>
      <c r="N930">
        <f t="shared" si="133"/>
        <v>107</v>
      </c>
      <c r="P930" t="str">
        <f t="shared" si="134"/>
        <v>.Razzmatazz-bg{background-color:#E3256B;}</v>
      </c>
    </row>
    <row r="931" spans="2:16" ht="15.75">
      <c r="B931" s="1" t="s">
        <v>1972</v>
      </c>
      <c r="C931" t="s">
        <v>1973</v>
      </c>
      <c r="D931">
        <v>14025</v>
      </c>
      <c r="E931">
        <v>7905</v>
      </c>
      <c r="F931">
        <v>14025</v>
      </c>
      <c r="G931" t="str">
        <f t="shared" si="126"/>
        <v>RazzmicBerry</v>
      </c>
      <c r="H931" t="str">
        <f t="shared" si="127"/>
        <v>8D4E85</v>
      </c>
      <c r="I931" t="str">
        <f t="shared" si="128"/>
        <v>8D</v>
      </c>
      <c r="J931" t="str">
        <f t="shared" si="129"/>
        <v>4E</v>
      </c>
      <c r="K931" t="str">
        <f t="shared" si="130"/>
        <v>85</v>
      </c>
      <c r="L931">
        <f t="shared" si="131"/>
        <v>141</v>
      </c>
      <c r="M931">
        <f t="shared" si="132"/>
        <v>78</v>
      </c>
      <c r="N931">
        <f t="shared" si="133"/>
        <v>133</v>
      </c>
      <c r="P931" t="str">
        <f t="shared" si="134"/>
        <v>.RazzmicBerry-bg{background-color:#8D4E85;}</v>
      </c>
    </row>
    <row r="932" spans="2:16" ht="15.75">
      <c r="B932" s="1" t="s">
        <v>1974</v>
      </c>
      <c r="C932" t="s">
        <v>1975</v>
      </c>
      <c r="D932">
        <v>10200</v>
      </c>
      <c r="E932">
        <v>5100</v>
      </c>
      <c r="F932">
        <v>10200</v>
      </c>
      <c r="G932" t="str">
        <f t="shared" si="126"/>
        <v>RebeccaPurple</v>
      </c>
      <c r="H932" t="str">
        <f t="shared" si="127"/>
        <v>663399</v>
      </c>
      <c r="I932" t="str">
        <f t="shared" si="128"/>
        <v>66</v>
      </c>
      <c r="J932" t="str">
        <f t="shared" si="129"/>
        <v>33</v>
      </c>
      <c r="K932" t="str">
        <f t="shared" si="130"/>
        <v>99</v>
      </c>
      <c r="L932">
        <f t="shared" si="131"/>
        <v>102</v>
      </c>
      <c r="M932">
        <f t="shared" si="132"/>
        <v>51</v>
      </c>
      <c r="N932">
        <f t="shared" si="133"/>
        <v>153</v>
      </c>
      <c r="P932" t="str">
        <f t="shared" si="134"/>
        <v>.RebeccaPurple-bg{background-color:#663399;}</v>
      </c>
    </row>
    <row r="933" spans="2:16" ht="15.75">
      <c r="B933" s="1" t="s">
        <v>1976</v>
      </c>
      <c r="C933" t="s">
        <v>1977</v>
      </c>
      <c r="D933">
        <v>25500</v>
      </c>
      <c r="E933">
        <v>0</v>
      </c>
      <c r="F933">
        <v>25500</v>
      </c>
      <c r="G933" t="str">
        <f t="shared" si="126"/>
        <v>Red</v>
      </c>
      <c r="H933" t="str">
        <f t="shared" si="127"/>
        <v>FF0000</v>
      </c>
      <c r="I933" t="str">
        <f t="shared" si="128"/>
        <v>FF</v>
      </c>
      <c r="J933" t="str">
        <f t="shared" si="129"/>
        <v>00</v>
      </c>
      <c r="K933" t="str">
        <f t="shared" si="130"/>
        <v>00</v>
      </c>
      <c r="L933">
        <f t="shared" si="131"/>
        <v>255</v>
      </c>
      <c r="M933">
        <f t="shared" si="132"/>
        <v>0</v>
      </c>
      <c r="N933">
        <f t="shared" si="133"/>
        <v>0</v>
      </c>
      <c r="P933" t="str">
        <f t="shared" si="134"/>
        <v>.Red-bg{background-color:#FF0000;}</v>
      </c>
    </row>
    <row r="934" spans="2:16" ht="15.75">
      <c r="B934" s="1" t="s">
        <v>1978</v>
      </c>
      <c r="C934" t="s">
        <v>1979</v>
      </c>
      <c r="D934">
        <v>23715</v>
      </c>
      <c r="E934">
        <v>3315</v>
      </c>
      <c r="F934">
        <v>23715</v>
      </c>
      <c r="G934" t="str">
        <f t="shared" si="126"/>
        <v>RedCrayola</v>
      </c>
      <c r="H934" t="str">
        <f t="shared" si="127"/>
        <v>EE204D</v>
      </c>
      <c r="I934" t="str">
        <f t="shared" si="128"/>
        <v>EE</v>
      </c>
      <c r="J934" t="str">
        <f t="shared" si="129"/>
        <v>20</v>
      </c>
      <c r="K934" t="str">
        <f t="shared" si="130"/>
        <v>4D</v>
      </c>
      <c r="L934">
        <f t="shared" si="131"/>
        <v>238</v>
      </c>
      <c r="M934">
        <f t="shared" si="132"/>
        <v>32</v>
      </c>
      <c r="N934">
        <f t="shared" si="133"/>
        <v>77</v>
      </c>
      <c r="P934" t="str">
        <f t="shared" si="134"/>
        <v>.RedCrayola-bg{background-color:#EE204D;}</v>
      </c>
    </row>
    <row r="935" spans="2:16" ht="15.75">
      <c r="B935" s="1" t="s">
        <v>1980</v>
      </c>
      <c r="C935" t="s">
        <v>1981</v>
      </c>
      <c r="D935">
        <v>24225</v>
      </c>
      <c r="E935">
        <v>0</v>
      </c>
      <c r="F935">
        <v>24225</v>
      </c>
      <c r="G935" t="str">
        <f t="shared" si="126"/>
        <v>RedMunsell</v>
      </c>
      <c r="H935" t="str">
        <f t="shared" si="127"/>
        <v>F2003C</v>
      </c>
      <c r="I935" t="str">
        <f t="shared" si="128"/>
        <v>F2</v>
      </c>
      <c r="J935" t="str">
        <f t="shared" si="129"/>
        <v>00</v>
      </c>
      <c r="K935" t="str">
        <f t="shared" si="130"/>
        <v>3C</v>
      </c>
      <c r="L935">
        <f t="shared" si="131"/>
        <v>242</v>
      </c>
      <c r="M935">
        <f t="shared" si="132"/>
        <v>0</v>
      </c>
      <c r="N935">
        <f t="shared" si="133"/>
        <v>60</v>
      </c>
      <c r="P935" t="str">
        <f t="shared" si="134"/>
        <v>.RedMunsell-bg{background-color:#F2003C;}</v>
      </c>
    </row>
    <row r="936" spans="2:16" ht="15.75">
      <c r="B936" s="1" t="s">
        <v>1982</v>
      </c>
      <c r="C936" t="s">
        <v>1983</v>
      </c>
      <c r="D936">
        <v>19635</v>
      </c>
      <c r="E936">
        <v>255</v>
      </c>
      <c r="F936">
        <v>19635</v>
      </c>
      <c r="G936" t="str">
        <f t="shared" si="126"/>
        <v>RedNcs</v>
      </c>
      <c r="H936" t="str">
        <f t="shared" si="127"/>
        <v>C40233</v>
      </c>
      <c r="I936" t="str">
        <f t="shared" si="128"/>
        <v>C4</v>
      </c>
      <c r="J936" t="str">
        <f t="shared" si="129"/>
        <v>02</v>
      </c>
      <c r="K936" t="str">
        <f t="shared" si="130"/>
        <v>33</v>
      </c>
      <c r="L936">
        <f t="shared" si="131"/>
        <v>196</v>
      </c>
      <c r="M936">
        <f t="shared" si="132"/>
        <v>2</v>
      </c>
      <c r="N936">
        <f t="shared" si="133"/>
        <v>51</v>
      </c>
      <c r="P936" t="str">
        <f t="shared" si="134"/>
        <v>.RedNcs-bg{background-color:#C40233;}</v>
      </c>
    </row>
    <row r="937" spans="2:16" ht="15.75">
      <c r="B937" s="1" t="s">
        <v>1984</v>
      </c>
      <c r="C937" t="s">
        <v>1225</v>
      </c>
      <c r="D937">
        <v>23715</v>
      </c>
      <c r="E937">
        <v>4080</v>
      </c>
      <c r="F937">
        <v>23715</v>
      </c>
      <c r="G937" t="str">
        <f t="shared" si="126"/>
        <v>RedPantone</v>
      </c>
      <c r="H937" t="str">
        <f t="shared" si="127"/>
        <v>ED2939</v>
      </c>
      <c r="I937" t="str">
        <f t="shared" si="128"/>
        <v>ED</v>
      </c>
      <c r="J937" t="str">
        <f t="shared" si="129"/>
        <v>29</v>
      </c>
      <c r="K937" t="str">
        <f t="shared" si="130"/>
        <v>39</v>
      </c>
      <c r="L937">
        <f t="shared" si="131"/>
        <v>237</v>
      </c>
      <c r="M937">
        <f t="shared" si="132"/>
        <v>41</v>
      </c>
      <c r="N937">
        <f t="shared" si="133"/>
        <v>57</v>
      </c>
      <c r="P937" t="str">
        <f t="shared" si="134"/>
        <v>.RedPantone-bg{background-color:#ED2939;}</v>
      </c>
    </row>
    <row r="938" spans="2:16" ht="15.75">
      <c r="B938" s="1" t="s">
        <v>1985</v>
      </c>
      <c r="C938" t="s">
        <v>1986</v>
      </c>
      <c r="D938">
        <v>23715</v>
      </c>
      <c r="E938">
        <v>2805</v>
      </c>
      <c r="F938">
        <v>23715</v>
      </c>
      <c r="G938" t="str">
        <f t="shared" si="126"/>
        <v>RedPigment</v>
      </c>
      <c r="H938" t="str">
        <f t="shared" si="127"/>
        <v>ED1C24</v>
      </c>
      <c r="I938" t="str">
        <f t="shared" si="128"/>
        <v>ED</v>
      </c>
      <c r="J938" t="str">
        <f t="shared" si="129"/>
        <v>1C</v>
      </c>
      <c r="K938" t="str">
        <f t="shared" si="130"/>
        <v>24</v>
      </c>
      <c r="L938">
        <f t="shared" si="131"/>
        <v>237</v>
      </c>
      <c r="M938">
        <f t="shared" si="132"/>
        <v>28</v>
      </c>
      <c r="N938">
        <f t="shared" si="133"/>
        <v>36</v>
      </c>
      <c r="P938" t="str">
        <f t="shared" si="134"/>
        <v>.RedPigment-bg{background-color:#ED1C24;}</v>
      </c>
    </row>
    <row r="939" spans="2:16" ht="15.75">
      <c r="B939" s="1" t="s">
        <v>1987</v>
      </c>
      <c r="C939" t="s">
        <v>1988</v>
      </c>
      <c r="D939">
        <v>25500</v>
      </c>
      <c r="E939">
        <v>3825</v>
      </c>
      <c r="F939">
        <v>25500</v>
      </c>
      <c r="G939" t="str">
        <f t="shared" si="126"/>
        <v>RedRyb</v>
      </c>
      <c r="H939" t="str">
        <f t="shared" si="127"/>
        <v>FE2712</v>
      </c>
      <c r="I939" t="str">
        <f t="shared" si="128"/>
        <v>FE</v>
      </c>
      <c r="J939" t="str">
        <f t="shared" si="129"/>
        <v>27</v>
      </c>
      <c r="K939" t="str">
        <f t="shared" si="130"/>
        <v>12</v>
      </c>
      <c r="L939">
        <f t="shared" si="131"/>
        <v>254</v>
      </c>
      <c r="M939">
        <f t="shared" si="132"/>
        <v>39</v>
      </c>
      <c r="N939">
        <f t="shared" si="133"/>
        <v>18</v>
      </c>
      <c r="P939" t="str">
        <f t="shared" si="134"/>
        <v>.RedRyb-bg{background-color:#FE2712;}</v>
      </c>
    </row>
    <row r="940" spans="2:16" ht="15.75">
      <c r="B940" s="1" t="s">
        <v>1989</v>
      </c>
      <c r="C940" t="s">
        <v>292</v>
      </c>
      <c r="D940">
        <v>16575</v>
      </c>
      <c r="E940">
        <v>4080</v>
      </c>
      <c r="F940">
        <v>16575</v>
      </c>
      <c r="G940" t="str">
        <f t="shared" si="126"/>
        <v>Redbrown</v>
      </c>
      <c r="H940" t="str">
        <f t="shared" si="127"/>
        <v>A52A2A</v>
      </c>
      <c r="I940" t="str">
        <f t="shared" si="128"/>
        <v>A5</v>
      </c>
      <c r="J940" t="str">
        <f t="shared" si="129"/>
        <v>2A</v>
      </c>
      <c r="K940" t="str">
        <f t="shared" si="130"/>
        <v>2A</v>
      </c>
      <c r="L940">
        <f t="shared" si="131"/>
        <v>165</v>
      </c>
      <c r="M940">
        <f t="shared" si="132"/>
        <v>42</v>
      </c>
      <c r="N940">
        <f t="shared" si="133"/>
        <v>42</v>
      </c>
      <c r="P940" t="str">
        <f t="shared" si="134"/>
        <v>.Redbrown-bg{background-color:#A52A2A;}</v>
      </c>
    </row>
    <row r="941" spans="2:16" ht="15.75">
      <c r="B941" s="1" t="s">
        <v>1990</v>
      </c>
      <c r="C941" t="s">
        <v>1991</v>
      </c>
      <c r="D941">
        <v>13515</v>
      </c>
      <c r="E941">
        <v>0</v>
      </c>
      <c r="F941">
        <v>13515</v>
      </c>
      <c r="G941" t="str">
        <f t="shared" si="126"/>
        <v>RedDevil</v>
      </c>
      <c r="H941" t="str">
        <f t="shared" si="127"/>
        <v>860111</v>
      </c>
      <c r="I941" t="str">
        <f t="shared" si="128"/>
        <v>86</v>
      </c>
      <c r="J941" t="str">
        <f t="shared" si="129"/>
        <v>01</v>
      </c>
      <c r="K941" t="str">
        <f t="shared" si="130"/>
        <v>11</v>
      </c>
      <c r="L941">
        <f t="shared" si="131"/>
        <v>134</v>
      </c>
      <c r="M941">
        <f t="shared" si="132"/>
        <v>1</v>
      </c>
      <c r="N941">
        <f t="shared" si="133"/>
        <v>17</v>
      </c>
      <c r="P941" t="str">
        <f t="shared" si="134"/>
        <v>.RedDevil-bg{background-color:#860111;}</v>
      </c>
    </row>
    <row r="942" spans="2:16" ht="15.75">
      <c r="B942" s="1" t="s">
        <v>1992</v>
      </c>
      <c r="C942" t="s">
        <v>1993</v>
      </c>
      <c r="D942">
        <v>25500</v>
      </c>
      <c r="E942">
        <v>8415</v>
      </c>
      <c r="F942">
        <v>25500</v>
      </c>
      <c r="G942" t="str">
        <f t="shared" si="126"/>
        <v>Redorange</v>
      </c>
      <c r="H942" t="str">
        <f t="shared" si="127"/>
        <v>FF5349</v>
      </c>
      <c r="I942" t="str">
        <f t="shared" si="128"/>
        <v>FF</v>
      </c>
      <c r="J942" t="str">
        <f t="shared" si="129"/>
        <v>53</v>
      </c>
      <c r="K942" t="str">
        <f t="shared" si="130"/>
        <v>49</v>
      </c>
      <c r="L942">
        <f t="shared" si="131"/>
        <v>255</v>
      </c>
      <c r="M942">
        <f t="shared" si="132"/>
        <v>83</v>
      </c>
      <c r="N942">
        <f t="shared" si="133"/>
        <v>73</v>
      </c>
      <c r="P942" t="str">
        <f t="shared" si="134"/>
        <v>.Redorange-bg{background-color:#FF5349;}</v>
      </c>
    </row>
    <row r="943" spans="2:16" ht="15.75">
      <c r="B943" s="1" t="s">
        <v>1994</v>
      </c>
      <c r="C943" t="s">
        <v>1995</v>
      </c>
      <c r="D943">
        <v>22695</v>
      </c>
      <c r="E943">
        <v>0</v>
      </c>
      <c r="F943">
        <v>22695</v>
      </c>
      <c r="G943" t="str">
        <f t="shared" si="126"/>
        <v>Redpurple</v>
      </c>
      <c r="H943" t="str">
        <f t="shared" si="127"/>
        <v>E40078</v>
      </c>
      <c r="I943" t="str">
        <f t="shared" si="128"/>
        <v>E4</v>
      </c>
      <c r="J943" t="str">
        <f t="shared" si="129"/>
        <v>00</v>
      </c>
      <c r="K943" t="str">
        <f t="shared" si="130"/>
        <v>78</v>
      </c>
      <c r="L943">
        <f t="shared" si="131"/>
        <v>228</v>
      </c>
      <c r="M943">
        <f t="shared" si="132"/>
        <v>0</v>
      </c>
      <c r="N943">
        <f t="shared" si="133"/>
        <v>120</v>
      </c>
      <c r="P943" t="str">
        <f t="shared" si="134"/>
        <v>.Redpurple-bg{background-color:#E40078;}</v>
      </c>
    </row>
    <row r="944" spans="2:16" ht="15.75">
      <c r="B944" s="1" t="s">
        <v>1996</v>
      </c>
      <c r="C944" t="s">
        <v>1997</v>
      </c>
      <c r="D944">
        <v>25245</v>
      </c>
      <c r="E944">
        <v>5865</v>
      </c>
      <c r="F944">
        <v>25245</v>
      </c>
      <c r="G944" t="str">
        <f t="shared" si="126"/>
        <v>RedSalsa</v>
      </c>
      <c r="H944" t="str">
        <f t="shared" si="127"/>
        <v>FD3A4A</v>
      </c>
      <c r="I944" t="str">
        <f t="shared" si="128"/>
        <v>FD</v>
      </c>
      <c r="J944" t="str">
        <f t="shared" si="129"/>
        <v>3A</v>
      </c>
      <c r="K944" t="str">
        <f t="shared" si="130"/>
        <v>4A</v>
      </c>
      <c r="L944">
        <f t="shared" si="131"/>
        <v>253</v>
      </c>
      <c r="M944">
        <f t="shared" si="132"/>
        <v>58</v>
      </c>
      <c r="N944">
        <f t="shared" si="133"/>
        <v>74</v>
      </c>
      <c r="P944" t="str">
        <f t="shared" si="134"/>
        <v>.RedSalsa-bg{background-color:#FD3A4A;}</v>
      </c>
    </row>
    <row r="945" spans="2:16" ht="15.75">
      <c r="B945" s="1" t="s">
        <v>1998</v>
      </c>
      <c r="C945" t="s">
        <v>1560</v>
      </c>
      <c r="D945">
        <v>19890</v>
      </c>
      <c r="E945">
        <v>2040</v>
      </c>
      <c r="F945">
        <v>19890</v>
      </c>
      <c r="G945" t="str">
        <f t="shared" si="126"/>
        <v>Redviolet</v>
      </c>
      <c r="H945" t="str">
        <f t="shared" si="127"/>
        <v>C71585</v>
      </c>
      <c r="I945" t="str">
        <f t="shared" si="128"/>
        <v>C7</v>
      </c>
      <c r="J945" t="str">
        <f t="shared" si="129"/>
        <v>15</v>
      </c>
      <c r="K945" t="str">
        <f t="shared" si="130"/>
        <v>85</v>
      </c>
      <c r="L945">
        <f t="shared" si="131"/>
        <v>199</v>
      </c>
      <c r="M945">
        <f t="shared" si="132"/>
        <v>21</v>
      </c>
      <c r="N945">
        <f t="shared" si="133"/>
        <v>133</v>
      </c>
      <c r="P945" t="str">
        <f t="shared" si="134"/>
        <v>.Redviolet-bg{background-color:#C71585;}</v>
      </c>
    </row>
    <row r="946" spans="2:16" ht="15.75">
      <c r="B946" s="1" t="s">
        <v>1999</v>
      </c>
      <c r="C946" t="s">
        <v>2000</v>
      </c>
      <c r="D946">
        <v>16320</v>
      </c>
      <c r="E946">
        <v>8925</v>
      </c>
      <c r="F946">
        <v>16320</v>
      </c>
      <c r="G946" t="str">
        <f t="shared" si="126"/>
        <v>Redwood</v>
      </c>
      <c r="H946" t="str">
        <f t="shared" si="127"/>
        <v>A45A52</v>
      </c>
      <c r="I946" t="str">
        <f t="shared" si="128"/>
        <v>A4</v>
      </c>
      <c r="J946" t="str">
        <f t="shared" si="129"/>
        <v>5A</v>
      </c>
      <c r="K946" t="str">
        <f t="shared" si="130"/>
        <v>52</v>
      </c>
      <c r="L946">
        <f t="shared" si="131"/>
        <v>164</v>
      </c>
      <c r="M946">
        <f t="shared" si="132"/>
        <v>90</v>
      </c>
      <c r="N946">
        <f t="shared" si="133"/>
        <v>82</v>
      </c>
      <c r="P946" t="str">
        <f t="shared" si="134"/>
        <v>.Redwood-bg{background-color:#A45A52;}</v>
      </c>
    </row>
    <row r="947" spans="2:16" ht="15.75">
      <c r="B947" s="1" t="s">
        <v>2001</v>
      </c>
      <c r="C947" t="s">
        <v>2002</v>
      </c>
      <c r="D947">
        <v>8160</v>
      </c>
      <c r="E947">
        <v>4590</v>
      </c>
      <c r="F947">
        <v>8160</v>
      </c>
      <c r="G947" t="str">
        <f t="shared" si="126"/>
        <v>Regalia</v>
      </c>
      <c r="H947" t="str">
        <f t="shared" si="127"/>
        <v>522D80</v>
      </c>
      <c r="I947" t="str">
        <f t="shared" si="128"/>
        <v>52</v>
      </c>
      <c r="J947" t="str">
        <f t="shared" si="129"/>
        <v>2D</v>
      </c>
      <c r="K947" t="str">
        <f t="shared" si="130"/>
        <v>80</v>
      </c>
      <c r="L947">
        <f t="shared" si="131"/>
        <v>82</v>
      </c>
      <c r="M947">
        <f t="shared" si="132"/>
        <v>45</v>
      </c>
      <c r="N947">
        <f t="shared" si="133"/>
        <v>128</v>
      </c>
      <c r="P947" t="str">
        <f t="shared" si="134"/>
        <v>.Regalia-bg{background-color:#522D80;}</v>
      </c>
    </row>
    <row r="948" spans="2:16" ht="15.75">
      <c r="B948" s="1" t="s">
        <v>2003</v>
      </c>
      <c r="C948" t="s">
        <v>363</v>
      </c>
      <c r="D948">
        <v>0</v>
      </c>
      <c r="E948">
        <v>0</v>
      </c>
      <c r="F948">
        <v>0</v>
      </c>
      <c r="G948" t="str">
        <f t="shared" si="126"/>
        <v>RegistrationBlack</v>
      </c>
      <c r="H948" t="str">
        <f t="shared" si="127"/>
        <v>000000</v>
      </c>
      <c r="I948" t="str">
        <f t="shared" si="128"/>
        <v>00</v>
      </c>
      <c r="J948" t="str">
        <f t="shared" si="129"/>
        <v>00</v>
      </c>
      <c r="K948" t="str">
        <f t="shared" si="130"/>
        <v>00</v>
      </c>
      <c r="L948">
        <f t="shared" si="131"/>
        <v>0</v>
      </c>
      <c r="M948">
        <f t="shared" si="132"/>
        <v>0</v>
      </c>
      <c r="N948">
        <f t="shared" si="133"/>
        <v>0</v>
      </c>
      <c r="P948" t="str">
        <f t="shared" si="134"/>
        <v>.RegistrationBlack-bg{background-color:#000000;}</v>
      </c>
    </row>
    <row r="949" spans="2:16" ht="15.75">
      <c r="B949" s="1" t="s">
        <v>2004</v>
      </c>
      <c r="C949" t="s">
        <v>2005</v>
      </c>
      <c r="D949">
        <v>0</v>
      </c>
      <c r="E949">
        <v>3570</v>
      </c>
      <c r="F949">
        <v>0</v>
      </c>
      <c r="G949" t="str">
        <f t="shared" si="126"/>
        <v>ResolutionBlue</v>
      </c>
      <c r="H949" t="str">
        <f t="shared" si="127"/>
        <v>002387</v>
      </c>
      <c r="I949" t="str">
        <f t="shared" si="128"/>
        <v>00</v>
      </c>
      <c r="J949" t="str">
        <f t="shared" si="129"/>
        <v>23</v>
      </c>
      <c r="K949" t="str">
        <f t="shared" si="130"/>
        <v>87</v>
      </c>
      <c r="L949">
        <f t="shared" si="131"/>
        <v>0</v>
      </c>
      <c r="M949">
        <f t="shared" si="132"/>
        <v>35</v>
      </c>
      <c r="N949">
        <f t="shared" si="133"/>
        <v>135</v>
      </c>
      <c r="P949" t="str">
        <f t="shared" si="134"/>
        <v>.ResolutionBlue-bg{background-color:#002387;}</v>
      </c>
    </row>
    <row r="950" spans="2:16" ht="15.75">
      <c r="B950" s="1" t="s">
        <v>2006</v>
      </c>
      <c r="C950" t="s">
        <v>2007</v>
      </c>
      <c r="D950">
        <v>11985</v>
      </c>
      <c r="E950">
        <v>11730</v>
      </c>
      <c r="F950">
        <v>11985</v>
      </c>
      <c r="G950" t="str">
        <f t="shared" si="126"/>
        <v>Rhythm</v>
      </c>
      <c r="H950" t="str">
        <f t="shared" si="127"/>
        <v>777696</v>
      </c>
      <c r="I950" t="str">
        <f t="shared" si="128"/>
        <v>77</v>
      </c>
      <c r="J950" t="str">
        <f t="shared" si="129"/>
        <v>76</v>
      </c>
      <c r="K950" t="str">
        <f t="shared" si="130"/>
        <v>96</v>
      </c>
      <c r="L950">
        <f t="shared" si="131"/>
        <v>119</v>
      </c>
      <c r="M950">
        <f t="shared" si="132"/>
        <v>118</v>
      </c>
      <c r="N950">
        <f t="shared" si="133"/>
        <v>150</v>
      </c>
      <c r="P950" t="str">
        <f t="shared" si="134"/>
        <v>.Rhythm-bg{background-color:#777696;}</v>
      </c>
    </row>
    <row r="951" spans="2:16" ht="15.75">
      <c r="B951" s="1" t="s">
        <v>2008</v>
      </c>
      <c r="C951" t="s">
        <v>2009</v>
      </c>
      <c r="D951">
        <v>0</v>
      </c>
      <c r="E951">
        <v>6375</v>
      </c>
      <c r="F951">
        <v>0</v>
      </c>
      <c r="G951" t="str">
        <f t="shared" si="126"/>
        <v>RichBlack</v>
      </c>
      <c r="H951" t="str">
        <f t="shared" si="127"/>
        <v>004040</v>
      </c>
      <c r="I951" t="str">
        <f t="shared" si="128"/>
        <v>00</v>
      </c>
      <c r="J951" t="str">
        <f t="shared" si="129"/>
        <v>40</v>
      </c>
      <c r="K951" t="str">
        <f t="shared" si="130"/>
        <v>40</v>
      </c>
      <c r="L951">
        <f t="shared" si="131"/>
        <v>0</v>
      </c>
      <c r="M951">
        <f t="shared" si="132"/>
        <v>64</v>
      </c>
      <c r="N951">
        <f t="shared" si="133"/>
        <v>64</v>
      </c>
      <c r="P951" t="str">
        <f t="shared" si="134"/>
        <v>.RichBlack-bg{background-color:#004040;}</v>
      </c>
    </row>
    <row r="952" spans="2:16" ht="15.75">
      <c r="B952" s="1" t="s">
        <v>2010</v>
      </c>
      <c r="C952" t="s">
        <v>2011</v>
      </c>
      <c r="D952">
        <v>0</v>
      </c>
      <c r="E952">
        <v>1020</v>
      </c>
      <c r="F952">
        <v>0</v>
      </c>
      <c r="G952" t="str">
        <f t="shared" si="126"/>
        <v>RichBlackFogra29</v>
      </c>
      <c r="H952" t="str">
        <f t="shared" si="127"/>
        <v>010B13</v>
      </c>
      <c r="I952" t="str">
        <f t="shared" si="128"/>
        <v>01</v>
      </c>
      <c r="J952" t="str">
        <f t="shared" si="129"/>
        <v>0B</v>
      </c>
      <c r="K952" t="str">
        <f t="shared" si="130"/>
        <v>13</v>
      </c>
      <c r="L952">
        <f t="shared" si="131"/>
        <v>1</v>
      </c>
      <c r="M952">
        <f t="shared" si="132"/>
        <v>11</v>
      </c>
      <c r="N952">
        <f t="shared" si="133"/>
        <v>19</v>
      </c>
      <c r="P952" t="str">
        <f t="shared" si="134"/>
        <v>.RichBlackFogra29-bg{background-color:#010B13;}</v>
      </c>
    </row>
    <row r="953" spans="2:16" ht="15.75">
      <c r="B953" s="1" t="s">
        <v>2012</v>
      </c>
      <c r="C953" t="s">
        <v>2013</v>
      </c>
      <c r="D953">
        <v>0</v>
      </c>
      <c r="E953">
        <v>255</v>
      </c>
      <c r="F953">
        <v>0</v>
      </c>
      <c r="G953" t="str">
        <f t="shared" si="126"/>
        <v>RichBlackFogra39</v>
      </c>
      <c r="H953" t="str">
        <f t="shared" si="127"/>
        <v>010203</v>
      </c>
      <c r="I953" t="str">
        <f t="shared" si="128"/>
        <v>01</v>
      </c>
      <c r="J953" t="str">
        <f t="shared" si="129"/>
        <v>02</v>
      </c>
      <c r="K953" t="str">
        <f t="shared" si="130"/>
        <v>03</v>
      </c>
      <c r="L953">
        <f t="shared" si="131"/>
        <v>1</v>
      </c>
      <c r="M953">
        <f t="shared" si="132"/>
        <v>2</v>
      </c>
      <c r="N953">
        <f t="shared" si="133"/>
        <v>3</v>
      </c>
      <c r="P953" t="str">
        <f t="shared" si="134"/>
        <v>.RichBlackFogra39-bg{background-color:#010203;}</v>
      </c>
    </row>
    <row r="954" spans="2:16" ht="15.75">
      <c r="B954" s="1" t="s">
        <v>2014</v>
      </c>
      <c r="C954" t="s">
        <v>2015</v>
      </c>
      <c r="D954">
        <v>24225</v>
      </c>
      <c r="E954">
        <v>16575</v>
      </c>
      <c r="F954">
        <v>24225</v>
      </c>
      <c r="G954" t="str">
        <f t="shared" si="126"/>
        <v>RichBrilliantLavender</v>
      </c>
      <c r="H954" t="str">
        <f t="shared" si="127"/>
        <v>F1A7FE</v>
      </c>
      <c r="I954" t="str">
        <f t="shared" si="128"/>
        <v>F1</v>
      </c>
      <c r="J954" t="str">
        <f t="shared" si="129"/>
        <v>A7</v>
      </c>
      <c r="K954" t="str">
        <f t="shared" si="130"/>
        <v>FE</v>
      </c>
      <c r="L954">
        <f t="shared" si="131"/>
        <v>241</v>
      </c>
      <c r="M954">
        <f t="shared" si="132"/>
        <v>167</v>
      </c>
      <c r="N954">
        <f t="shared" si="133"/>
        <v>254</v>
      </c>
      <c r="P954" t="str">
        <f t="shared" si="134"/>
        <v>.RichBrilliantLavender-bg{background-color:#F1A7FE;}</v>
      </c>
    </row>
    <row r="955" spans="2:16" ht="15.75">
      <c r="B955" s="1" t="s">
        <v>2016</v>
      </c>
      <c r="C955" t="s">
        <v>556</v>
      </c>
      <c r="D955">
        <v>21420</v>
      </c>
      <c r="E955">
        <v>0</v>
      </c>
      <c r="F955">
        <v>21420</v>
      </c>
      <c r="G955" t="str">
        <f t="shared" si="126"/>
        <v>RichCarmine</v>
      </c>
      <c r="H955" t="str">
        <f t="shared" si="127"/>
        <v>D70040</v>
      </c>
      <c r="I955" t="str">
        <f t="shared" si="128"/>
        <v>D7</v>
      </c>
      <c r="J955" t="str">
        <f t="shared" si="129"/>
        <v>00</v>
      </c>
      <c r="K955" t="str">
        <f t="shared" si="130"/>
        <v>40</v>
      </c>
      <c r="L955">
        <f t="shared" si="131"/>
        <v>215</v>
      </c>
      <c r="M955">
        <f t="shared" si="132"/>
        <v>0</v>
      </c>
      <c r="N955">
        <f t="shared" si="133"/>
        <v>64</v>
      </c>
      <c r="P955" t="str">
        <f t="shared" si="134"/>
        <v>.RichCarmine-bg{background-color:#D70040;}</v>
      </c>
    </row>
    <row r="956" spans="2:16" ht="15.75">
      <c r="B956" s="1" t="s">
        <v>2017</v>
      </c>
      <c r="C956" t="s">
        <v>2018</v>
      </c>
      <c r="D956">
        <v>765</v>
      </c>
      <c r="E956">
        <v>14535</v>
      </c>
      <c r="F956">
        <v>765</v>
      </c>
      <c r="G956" t="str">
        <f t="shared" si="126"/>
        <v>RichElectricBlue</v>
      </c>
      <c r="H956" t="str">
        <f t="shared" si="127"/>
        <v>0892D0</v>
      </c>
      <c r="I956" t="str">
        <f t="shared" si="128"/>
        <v>08</v>
      </c>
      <c r="J956" t="str">
        <f t="shared" si="129"/>
        <v>92</v>
      </c>
      <c r="K956" t="str">
        <f t="shared" si="130"/>
        <v>D0</v>
      </c>
      <c r="L956">
        <f t="shared" si="131"/>
        <v>8</v>
      </c>
      <c r="M956">
        <f t="shared" si="132"/>
        <v>146</v>
      </c>
      <c r="N956">
        <f t="shared" si="133"/>
        <v>208</v>
      </c>
      <c r="P956" t="str">
        <f t="shared" si="134"/>
        <v>.RichElectricBlue-bg{background-color:#0892D0;}</v>
      </c>
    </row>
    <row r="957" spans="2:16" ht="15.75">
      <c r="B957" s="1" t="s">
        <v>2019</v>
      </c>
      <c r="C957" t="s">
        <v>2020</v>
      </c>
      <c r="D957">
        <v>16575</v>
      </c>
      <c r="E957">
        <v>10710</v>
      </c>
      <c r="F957">
        <v>16575</v>
      </c>
      <c r="G957" t="str">
        <f t="shared" si="126"/>
        <v>RichLavender</v>
      </c>
      <c r="H957" t="str">
        <f t="shared" si="127"/>
        <v>A76BCF</v>
      </c>
      <c r="I957" t="str">
        <f t="shared" si="128"/>
        <v>A7</v>
      </c>
      <c r="J957" t="str">
        <f t="shared" si="129"/>
        <v>6B</v>
      </c>
      <c r="K957" t="str">
        <f t="shared" si="130"/>
        <v>CF</v>
      </c>
      <c r="L957">
        <f t="shared" si="131"/>
        <v>167</v>
      </c>
      <c r="M957">
        <f t="shared" si="132"/>
        <v>107</v>
      </c>
      <c r="N957">
        <f t="shared" si="133"/>
        <v>207</v>
      </c>
      <c r="P957" t="str">
        <f t="shared" si="134"/>
        <v>.RichLavender-bg{background-color:#A76BCF;}</v>
      </c>
    </row>
    <row r="958" spans="2:16" ht="15.75">
      <c r="B958" s="1" t="s">
        <v>2021</v>
      </c>
      <c r="C958" t="s">
        <v>2022</v>
      </c>
      <c r="D958">
        <v>18105</v>
      </c>
      <c r="E958">
        <v>10200</v>
      </c>
      <c r="F958">
        <v>18105</v>
      </c>
      <c r="G958" t="str">
        <f t="shared" si="126"/>
        <v>RichLilac</v>
      </c>
      <c r="H958" t="str">
        <f t="shared" si="127"/>
        <v>B666D2</v>
      </c>
      <c r="I958" t="str">
        <f t="shared" si="128"/>
        <v>B6</v>
      </c>
      <c r="J958" t="str">
        <f t="shared" si="129"/>
        <v>66</v>
      </c>
      <c r="K958" t="str">
        <f t="shared" si="130"/>
        <v>D2</v>
      </c>
      <c r="L958">
        <f t="shared" si="131"/>
        <v>182</v>
      </c>
      <c r="M958">
        <f t="shared" si="132"/>
        <v>102</v>
      </c>
      <c r="N958">
        <f t="shared" si="133"/>
        <v>210</v>
      </c>
      <c r="P958" t="str">
        <f t="shared" si="134"/>
        <v>.RichLilac-bg{background-color:#B666D2;}</v>
      </c>
    </row>
    <row r="959" spans="2:16" ht="15.75">
      <c r="B959" s="1" t="s">
        <v>2023</v>
      </c>
      <c r="C959" t="s">
        <v>1500</v>
      </c>
      <c r="D959">
        <v>17595</v>
      </c>
      <c r="E959">
        <v>4845</v>
      </c>
      <c r="F959">
        <v>17595</v>
      </c>
      <c r="G959" t="str">
        <f t="shared" si="126"/>
        <v>RichMaroon</v>
      </c>
      <c r="H959" t="str">
        <f t="shared" si="127"/>
        <v>B03060</v>
      </c>
      <c r="I959" t="str">
        <f t="shared" si="128"/>
        <v>B0</v>
      </c>
      <c r="J959" t="str">
        <f t="shared" si="129"/>
        <v>30</v>
      </c>
      <c r="K959" t="str">
        <f t="shared" si="130"/>
        <v>60</v>
      </c>
      <c r="L959">
        <f t="shared" si="131"/>
        <v>176</v>
      </c>
      <c r="M959">
        <f t="shared" si="132"/>
        <v>48</v>
      </c>
      <c r="N959">
        <f t="shared" si="133"/>
        <v>96</v>
      </c>
      <c r="P959" t="str">
        <f t="shared" si="134"/>
        <v>.RichMaroon-bg{background-color:#B03060;}</v>
      </c>
    </row>
    <row r="960" spans="2:16" ht="15.75">
      <c r="B960" s="1" t="s">
        <v>2024</v>
      </c>
      <c r="C960" t="s">
        <v>2025</v>
      </c>
      <c r="D960">
        <v>6885</v>
      </c>
      <c r="E960">
        <v>7650</v>
      </c>
      <c r="F960">
        <v>6885</v>
      </c>
      <c r="G960" t="str">
        <f t="shared" si="126"/>
        <v>RifleGreen</v>
      </c>
      <c r="H960" t="str">
        <f t="shared" si="127"/>
        <v>444C38</v>
      </c>
      <c r="I960" t="str">
        <f t="shared" si="128"/>
        <v>44</v>
      </c>
      <c r="J960" t="str">
        <f t="shared" si="129"/>
        <v>4C</v>
      </c>
      <c r="K960" t="str">
        <f t="shared" si="130"/>
        <v>38</v>
      </c>
      <c r="L960">
        <f t="shared" si="131"/>
        <v>68</v>
      </c>
      <c r="M960">
        <f t="shared" si="132"/>
        <v>76</v>
      </c>
      <c r="N960">
        <f t="shared" si="133"/>
        <v>56</v>
      </c>
      <c r="P960" t="str">
        <f t="shared" si="134"/>
        <v>.RifleGreen-bg{background-color:#444C38;}</v>
      </c>
    </row>
    <row r="961" spans="2:16" ht="15.75">
      <c r="B961" s="1" t="s">
        <v>2026</v>
      </c>
      <c r="C961" t="s">
        <v>863</v>
      </c>
      <c r="D961">
        <v>11220</v>
      </c>
      <c r="E961">
        <v>6630</v>
      </c>
      <c r="F961">
        <v>11220</v>
      </c>
      <c r="G961" t="str">
        <f t="shared" si="126"/>
        <v>RoastCoffee</v>
      </c>
      <c r="H961" t="str">
        <f t="shared" si="127"/>
        <v>704241</v>
      </c>
      <c r="I961" t="str">
        <f t="shared" si="128"/>
        <v>70</v>
      </c>
      <c r="J961" t="str">
        <f t="shared" si="129"/>
        <v>42</v>
      </c>
      <c r="K961" t="str">
        <f t="shared" si="130"/>
        <v>41</v>
      </c>
      <c r="L961">
        <f t="shared" si="131"/>
        <v>112</v>
      </c>
      <c r="M961">
        <f t="shared" si="132"/>
        <v>66</v>
      </c>
      <c r="N961">
        <f t="shared" si="133"/>
        <v>65</v>
      </c>
      <c r="P961" t="str">
        <f t="shared" si="134"/>
        <v>.RoastCoffee-bg{background-color:#704241;}</v>
      </c>
    </row>
    <row r="962" spans="2:16" ht="15.75">
      <c r="B962" s="1" t="s">
        <v>2027</v>
      </c>
      <c r="C962" t="s">
        <v>2028</v>
      </c>
      <c r="D962">
        <v>0</v>
      </c>
      <c r="E962">
        <v>20400</v>
      </c>
      <c r="F962">
        <v>0</v>
      </c>
      <c r="G962" t="str">
        <f t="shared" si="126"/>
        <v>RobinEggBlue</v>
      </c>
      <c r="H962" t="str">
        <f t="shared" si="127"/>
        <v>00CCCC</v>
      </c>
      <c r="I962" t="str">
        <f t="shared" si="128"/>
        <v>00</v>
      </c>
      <c r="J962" t="str">
        <f t="shared" si="129"/>
        <v>CC</v>
      </c>
      <c r="K962" t="str">
        <f t="shared" si="130"/>
        <v>CC</v>
      </c>
      <c r="L962">
        <f t="shared" si="131"/>
        <v>0</v>
      </c>
      <c r="M962">
        <f t="shared" si="132"/>
        <v>204</v>
      </c>
      <c r="N962">
        <f t="shared" si="133"/>
        <v>204</v>
      </c>
      <c r="P962" t="str">
        <f t="shared" si="134"/>
        <v>.RobinEggBlue-bg{background-color:#00CCCC;}</v>
      </c>
    </row>
    <row r="963" spans="2:16" ht="15.75">
      <c r="B963" s="1" t="s">
        <v>2029</v>
      </c>
      <c r="C963" t="s">
        <v>2030</v>
      </c>
      <c r="D963">
        <v>13770</v>
      </c>
      <c r="E963">
        <v>12750</v>
      </c>
      <c r="F963">
        <v>13770</v>
      </c>
      <c r="G963" t="str">
        <f t="shared" si="126"/>
        <v>RocketMetallic</v>
      </c>
      <c r="H963" t="str">
        <f t="shared" si="127"/>
        <v>8A7F80</v>
      </c>
      <c r="I963" t="str">
        <f t="shared" si="128"/>
        <v>8A</v>
      </c>
      <c r="J963" t="str">
        <f t="shared" si="129"/>
        <v>7F</v>
      </c>
      <c r="K963" t="str">
        <f t="shared" si="130"/>
        <v>80</v>
      </c>
      <c r="L963">
        <f t="shared" si="131"/>
        <v>138</v>
      </c>
      <c r="M963">
        <f t="shared" si="132"/>
        <v>127</v>
      </c>
      <c r="N963">
        <f t="shared" si="133"/>
        <v>128</v>
      </c>
      <c r="P963" t="str">
        <f t="shared" si="134"/>
        <v>.RocketMetallic-bg{background-color:#8A7F80;}</v>
      </c>
    </row>
    <row r="964" spans="2:16" ht="15.75">
      <c r="B964" s="1" t="s">
        <v>2031</v>
      </c>
      <c r="C964" t="s">
        <v>2032</v>
      </c>
      <c r="D964">
        <v>13005</v>
      </c>
      <c r="E964">
        <v>13770</v>
      </c>
      <c r="F964">
        <v>13005</v>
      </c>
      <c r="G964" t="str">
        <f t="shared" ref="G964:G1027" si="135">SUBSTITUTE(PROPER(AlphaNumericOnly(B964))," ","")</f>
        <v>RomanSilver</v>
      </c>
      <c r="H964" t="str">
        <f t="shared" ref="H964:H1027" si="136">RIGHT(C964,6)</f>
        <v>838996</v>
      </c>
      <c r="I964" t="str">
        <f t="shared" ref="I964:I1027" si="137">MID($H964,1,2)</f>
        <v>83</v>
      </c>
      <c r="J964" t="str">
        <f t="shared" ref="J964:J1027" si="138">MID($H964,3,2)</f>
        <v>89</v>
      </c>
      <c r="K964" t="str">
        <f t="shared" ref="K964:K1027" si="139">MID($H964,5,2)</f>
        <v>96</v>
      </c>
      <c r="L964">
        <f t="shared" ref="L964:L1027" si="140">HEX2DEC(I964)</f>
        <v>131</v>
      </c>
      <c r="M964">
        <f t="shared" ref="M964:M1027" si="141">HEX2DEC(J964)</f>
        <v>137</v>
      </c>
      <c r="N964">
        <f t="shared" ref="N964:N1027" si="142">HEX2DEC(K964)</f>
        <v>150</v>
      </c>
      <c r="P964" t="str">
        <f t="shared" ref="P964:P1027" si="143">"."&amp;G964&amp;$P$1&amp;"{"&amp;$P$2&amp;":#"&amp;H964&amp;";}"</f>
        <v>.RomanSilver-bg{background-color:#838996;}</v>
      </c>
    </row>
    <row r="965" spans="2:16" ht="15.75">
      <c r="B965" s="1" t="s">
        <v>2033</v>
      </c>
      <c r="C965" t="s">
        <v>453</v>
      </c>
      <c r="D965">
        <v>25500</v>
      </c>
      <c r="E965">
        <v>0</v>
      </c>
      <c r="F965">
        <v>25500</v>
      </c>
      <c r="G965" t="str">
        <f t="shared" si="135"/>
        <v>Rose</v>
      </c>
      <c r="H965" t="str">
        <f t="shared" si="136"/>
        <v>FF007F</v>
      </c>
      <c r="I965" t="str">
        <f t="shared" si="137"/>
        <v>FF</v>
      </c>
      <c r="J965" t="str">
        <f t="shared" si="138"/>
        <v>00</v>
      </c>
      <c r="K965" t="str">
        <f t="shared" si="139"/>
        <v>7F</v>
      </c>
      <c r="L965">
        <f t="shared" si="140"/>
        <v>255</v>
      </c>
      <c r="M965">
        <f t="shared" si="141"/>
        <v>0</v>
      </c>
      <c r="N965">
        <f t="shared" si="142"/>
        <v>127</v>
      </c>
      <c r="P965" t="str">
        <f t="shared" si="143"/>
        <v>.Rose-bg{background-color:#FF007F;}</v>
      </c>
    </row>
    <row r="966" spans="2:16" ht="15.75">
      <c r="B966" s="1" t="s">
        <v>2034</v>
      </c>
      <c r="C966" t="s">
        <v>2035</v>
      </c>
      <c r="D966">
        <v>24990</v>
      </c>
      <c r="E966">
        <v>6630</v>
      </c>
      <c r="F966">
        <v>24990</v>
      </c>
      <c r="G966" t="str">
        <f t="shared" si="135"/>
        <v>RoseBonbon</v>
      </c>
      <c r="H966" t="str">
        <f t="shared" si="136"/>
        <v>F9429E</v>
      </c>
      <c r="I966" t="str">
        <f t="shared" si="137"/>
        <v>F9</v>
      </c>
      <c r="J966" t="str">
        <f t="shared" si="138"/>
        <v>42</v>
      </c>
      <c r="K966" t="str">
        <f t="shared" si="139"/>
        <v>9E</v>
      </c>
      <c r="L966">
        <f t="shared" si="140"/>
        <v>249</v>
      </c>
      <c r="M966">
        <f t="shared" si="141"/>
        <v>66</v>
      </c>
      <c r="N966">
        <f t="shared" si="142"/>
        <v>158</v>
      </c>
      <c r="P966" t="str">
        <f t="shared" si="143"/>
        <v>.RoseBonbon-bg{background-color:#F9429E;}</v>
      </c>
    </row>
    <row r="967" spans="2:16" ht="15.75">
      <c r="B967" s="1" t="s">
        <v>2036</v>
      </c>
      <c r="C967" t="s">
        <v>2037</v>
      </c>
      <c r="D967">
        <v>15810</v>
      </c>
      <c r="E967">
        <v>9435</v>
      </c>
      <c r="F967">
        <v>15810</v>
      </c>
      <c r="G967" t="str">
        <f t="shared" si="135"/>
        <v>RoseDust</v>
      </c>
      <c r="H967" t="str">
        <f t="shared" si="136"/>
        <v>9E5E6F</v>
      </c>
      <c r="I967" t="str">
        <f t="shared" si="137"/>
        <v>9E</v>
      </c>
      <c r="J967" t="str">
        <f t="shared" si="138"/>
        <v>5E</v>
      </c>
      <c r="K967" t="str">
        <f t="shared" si="139"/>
        <v>6F</v>
      </c>
      <c r="L967">
        <f t="shared" si="140"/>
        <v>158</v>
      </c>
      <c r="M967">
        <f t="shared" si="141"/>
        <v>94</v>
      </c>
      <c r="N967">
        <f t="shared" si="142"/>
        <v>111</v>
      </c>
      <c r="P967" t="str">
        <f t="shared" si="143"/>
        <v>.RoseDust-bg{background-color:#9E5E6F;}</v>
      </c>
    </row>
    <row r="968" spans="2:16" ht="15.75">
      <c r="B968" s="1" t="s">
        <v>2038</v>
      </c>
      <c r="C968" t="s">
        <v>2039</v>
      </c>
      <c r="D968">
        <v>10200</v>
      </c>
      <c r="E968">
        <v>7140</v>
      </c>
      <c r="F968">
        <v>10200</v>
      </c>
      <c r="G968" t="str">
        <f t="shared" si="135"/>
        <v>RoseEbony</v>
      </c>
      <c r="H968" t="str">
        <f t="shared" si="136"/>
        <v>674846</v>
      </c>
      <c r="I968" t="str">
        <f t="shared" si="137"/>
        <v>67</v>
      </c>
      <c r="J968" t="str">
        <f t="shared" si="138"/>
        <v>48</v>
      </c>
      <c r="K968" t="str">
        <f t="shared" si="139"/>
        <v>46</v>
      </c>
      <c r="L968">
        <f t="shared" si="140"/>
        <v>103</v>
      </c>
      <c r="M968">
        <f t="shared" si="141"/>
        <v>72</v>
      </c>
      <c r="N968">
        <f t="shared" si="142"/>
        <v>70</v>
      </c>
      <c r="P968" t="str">
        <f t="shared" si="143"/>
        <v>.RoseEbony-bg{background-color:#674846;}</v>
      </c>
    </row>
    <row r="969" spans="2:16" ht="15.75">
      <c r="B969" s="1" t="s">
        <v>2040</v>
      </c>
      <c r="C969" t="s">
        <v>2041</v>
      </c>
      <c r="D969">
        <v>18360</v>
      </c>
      <c r="E969">
        <v>10965</v>
      </c>
      <c r="F969">
        <v>18360</v>
      </c>
      <c r="G969" t="str">
        <f t="shared" si="135"/>
        <v>RoseGold</v>
      </c>
      <c r="H969" t="str">
        <f t="shared" si="136"/>
        <v>B76E79</v>
      </c>
      <c r="I969" t="str">
        <f t="shared" si="137"/>
        <v>B7</v>
      </c>
      <c r="J969" t="str">
        <f t="shared" si="138"/>
        <v>6E</v>
      </c>
      <c r="K969" t="str">
        <f t="shared" si="139"/>
        <v>79</v>
      </c>
      <c r="L969">
        <f t="shared" si="140"/>
        <v>183</v>
      </c>
      <c r="M969">
        <f t="shared" si="141"/>
        <v>110</v>
      </c>
      <c r="N969">
        <f t="shared" si="142"/>
        <v>121</v>
      </c>
      <c r="P969" t="str">
        <f t="shared" si="143"/>
        <v>.RoseGold-bg{background-color:#B76E79;}</v>
      </c>
    </row>
    <row r="970" spans="2:16" ht="15.75">
      <c r="B970" s="1" t="s">
        <v>2042</v>
      </c>
      <c r="C970" t="s">
        <v>227</v>
      </c>
      <c r="D970">
        <v>22695</v>
      </c>
      <c r="E970">
        <v>3825</v>
      </c>
      <c r="F970">
        <v>22695</v>
      </c>
      <c r="G970" t="str">
        <f t="shared" si="135"/>
        <v>RoseMadder</v>
      </c>
      <c r="H970" t="str">
        <f t="shared" si="136"/>
        <v>E32636</v>
      </c>
      <c r="I970" t="str">
        <f t="shared" si="137"/>
        <v>E3</v>
      </c>
      <c r="J970" t="str">
        <f t="shared" si="138"/>
        <v>26</v>
      </c>
      <c r="K970" t="str">
        <f t="shared" si="139"/>
        <v>36</v>
      </c>
      <c r="L970">
        <f t="shared" si="140"/>
        <v>227</v>
      </c>
      <c r="M970">
        <f t="shared" si="141"/>
        <v>38</v>
      </c>
      <c r="N970">
        <f t="shared" si="142"/>
        <v>54</v>
      </c>
      <c r="P970" t="str">
        <f t="shared" si="143"/>
        <v>.RoseMadder-bg{background-color:#E32636;}</v>
      </c>
    </row>
    <row r="971" spans="2:16" ht="15.75">
      <c r="B971" s="1" t="s">
        <v>2043</v>
      </c>
      <c r="C971" t="s">
        <v>2044</v>
      </c>
      <c r="D971">
        <v>25500</v>
      </c>
      <c r="E971">
        <v>10200</v>
      </c>
      <c r="F971">
        <v>25500</v>
      </c>
      <c r="G971" t="str">
        <f t="shared" si="135"/>
        <v>RosePink</v>
      </c>
      <c r="H971" t="str">
        <f t="shared" si="136"/>
        <v>FF66CC</v>
      </c>
      <c r="I971" t="str">
        <f t="shared" si="137"/>
        <v>FF</v>
      </c>
      <c r="J971" t="str">
        <f t="shared" si="138"/>
        <v>66</v>
      </c>
      <c r="K971" t="str">
        <f t="shared" si="139"/>
        <v>CC</v>
      </c>
      <c r="L971">
        <f t="shared" si="140"/>
        <v>255</v>
      </c>
      <c r="M971">
        <f t="shared" si="141"/>
        <v>102</v>
      </c>
      <c r="N971">
        <f t="shared" si="142"/>
        <v>204</v>
      </c>
      <c r="P971" t="str">
        <f t="shared" si="143"/>
        <v>.RosePink-bg{background-color:#FF66CC;}</v>
      </c>
    </row>
    <row r="972" spans="2:16" ht="15.75">
      <c r="B972" s="1" t="s">
        <v>2045</v>
      </c>
      <c r="C972" t="s">
        <v>1197</v>
      </c>
      <c r="D972">
        <v>17085</v>
      </c>
      <c r="E972">
        <v>15300</v>
      </c>
      <c r="F972">
        <v>17085</v>
      </c>
      <c r="G972" t="str">
        <f t="shared" si="135"/>
        <v>RoseQuartz</v>
      </c>
      <c r="H972" t="str">
        <f t="shared" si="136"/>
        <v>AA98A9</v>
      </c>
      <c r="I972" t="str">
        <f t="shared" si="137"/>
        <v>AA</v>
      </c>
      <c r="J972" t="str">
        <f t="shared" si="138"/>
        <v>98</v>
      </c>
      <c r="K972" t="str">
        <f t="shared" si="139"/>
        <v>A9</v>
      </c>
      <c r="L972">
        <f t="shared" si="140"/>
        <v>170</v>
      </c>
      <c r="M972">
        <f t="shared" si="141"/>
        <v>152</v>
      </c>
      <c r="N972">
        <f t="shared" si="142"/>
        <v>169</v>
      </c>
      <c r="P972" t="str">
        <f t="shared" si="143"/>
        <v>.RoseQuartz-bg{background-color:#AA98A9;}</v>
      </c>
    </row>
    <row r="973" spans="2:16" ht="15.75">
      <c r="B973" s="1" t="s">
        <v>2046</v>
      </c>
      <c r="C973" t="s">
        <v>2047</v>
      </c>
      <c r="D973">
        <v>19380</v>
      </c>
      <c r="E973">
        <v>3060</v>
      </c>
      <c r="F973">
        <v>19380</v>
      </c>
      <c r="G973" t="str">
        <f t="shared" si="135"/>
        <v>RoseRed</v>
      </c>
      <c r="H973" t="str">
        <f t="shared" si="136"/>
        <v>C21E56</v>
      </c>
      <c r="I973" t="str">
        <f t="shared" si="137"/>
        <v>C2</v>
      </c>
      <c r="J973" t="str">
        <f t="shared" si="138"/>
        <v>1E</v>
      </c>
      <c r="K973" t="str">
        <f t="shared" si="139"/>
        <v>56</v>
      </c>
      <c r="L973">
        <f t="shared" si="140"/>
        <v>194</v>
      </c>
      <c r="M973">
        <f t="shared" si="141"/>
        <v>30</v>
      </c>
      <c r="N973">
        <f t="shared" si="142"/>
        <v>86</v>
      </c>
      <c r="P973" t="str">
        <f t="shared" si="143"/>
        <v>.RoseRed-bg{background-color:#C21E56;}</v>
      </c>
    </row>
    <row r="974" spans="2:16" ht="15.75">
      <c r="B974" s="1" t="s">
        <v>2048</v>
      </c>
      <c r="C974" t="s">
        <v>2049</v>
      </c>
      <c r="D974">
        <v>14280</v>
      </c>
      <c r="E974">
        <v>9180</v>
      </c>
      <c r="F974">
        <v>14280</v>
      </c>
      <c r="G974" t="str">
        <f t="shared" si="135"/>
        <v>RoseTaupe</v>
      </c>
      <c r="H974" t="str">
        <f t="shared" si="136"/>
        <v>905D5D</v>
      </c>
      <c r="I974" t="str">
        <f t="shared" si="137"/>
        <v>90</v>
      </c>
      <c r="J974" t="str">
        <f t="shared" si="138"/>
        <v>5D</v>
      </c>
      <c r="K974" t="str">
        <f t="shared" si="139"/>
        <v>5D</v>
      </c>
      <c r="L974">
        <f t="shared" si="140"/>
        <v>144</v>
      </c>
      <c r="M974">
        <f t="shared" si="141"/>
        <v>93</v>
      </c>
      <c r="N974">
        <f t="shared" si="142"/>
        <v>93</v>
      </c>
      <c r="P974" t="str">
        <f t="shared" si="143"/>
        <v>.RoseTaupe-bg{background-color:#905D5D;}</v>
      </c>
    </row>
    <row r="975" spans="2:16" ht="15.75">
      <c r="B975" s="1" t="s">
        <v>2050</v>
      </c>
      <c r="C975" t="s">
        <v>2051</v>
      </c>
      <c r="D975">
        <v>17085</v>
      </c>
      <c r="E975">
        <v>7905</v>
      </c>
      <c r="F975">
        <v>17085</v>
      </c>
      <c r="G975" t="str">
        <f t="shared" si="135"/>
        <v>RoseVale</v>
      </c>
      <c r="H975" t="str">
        <f t="shared" si="136"/>
        <v>AB4E52</v>
      </c>
      <c r="I975" t="str">
        <f t="shared" si="137"/>
        <v>AB</v>
      </c>
      <c r="J975" t="str">
        <f t="shared" si="138"/>
        <v>4E</v>
      </c>
      <c r="K975" t="str">
        <f t="shared" si="139"/>
        <v>52</v>
      </c>
      <c r="L975">
        <f t="shared" si="140"/>
        <v>171</v>
      </c>
      <c r="M975">
        <f t="shared" si="141"/>
        <v>78</v>
      </c>
      <c r="N975">
        <f t="shared" si="142"/>
        <v>82</v>
      </c>
      <c r="P975" t="str">
        <f t="shared" si="143"/>
        <v>.RoseVale-bg{background-color:#AB4E52;}</v>
      </c>
    </row>
    <row r="976" spans="2:16" ht="15.75">
      <c r="B976" s="1" t="s">
        <v>2052</v>
      </c>
      <c r="C976" t="s">
        <v>2053</v>
      </c>
      <c r="D976">
        <v>10200</v>
      </c>
      <c r="E976">
        <v>0</v>
      </c>
      <c r="F976">
        <v>10200</v>
      </c>
      <c r="G976" t="str">
        <f t="shared" si="135"/>
        <v>Rosewood</v>
      </c>
      <c r="H976" t="str">
        <f t="shared" si="136"/>
        <v>65000B</v>
      </c>
      <c r="I976" t="str">
        <f t="shared" si="137"/>
        <v>65</v>
      </c>
      <c r="J976" t="str">
        <f t="shared" si="138"/>
        <v>00</v>
      </c>
      <c r="K976" t="str">
        <f t="shared" si="139"/>
        <v>0B</v>
      </c>
      <c r="L976">
        <f t="shared" si="140"/>
        <v>101</v>
      </c>
      <c r="M976">
        <f t="shared" si="141"/>
        <v>0</v>
      </c>
      <c r="N976">
        <f t="shared" si="142"/>
        <v>11</v>
      </c>
      <c r="P976" t="str">
        <f t="shared" si="143"/>
        <v>.Rosewood-bg{background-color:#65000B;}</v>
      </c>
    </row>
    <row r="977" spans="2:16" ht="15.75">
      <c r="B977" s="1" t="s">
        <v>2054</v>
      </c>
      <c r="C977" t="s">
        <v>2055</v>
      </c>
      <c r="D977">
        <v>21165</v>
      </c>
      <c r="E977">
        <v>0</v>
      </c>
      <c r="F977">
        <v>21165</v>
      </c>
      <c r="G977" t="str">
        <f t="shared" si="135"/>
        <v>RossoCorsa</v>
      </c>
      <c r="H977" t="str">
        <f t="shared" si="136"/>
        <v>D40000</v>
      </c>
      <c r="I977" t="str">
        <f t="shared" si="137"/>
        <v>D4</v>
      </c>
      <c r="J977" t="str">
        <f t="shared" si="138"/>
        <v>00</v>
      </c>
      <c r="K977" t="str">
        <f t="shared" si="139"/>
        <v>00</v>
      </c>
      <c r="L977">
        <f t="shared" si="140"/>
        <v>212</v>
      </c>
      <c r="M977">
        <f t="shared" si="141"/>
        <v>0</v>
      </c>
      <c r="N977">
        <f t="shared" si="142"/>
        <v>0</v>
      </c>
      <c r="P977" t="str">
        <f t="shared" si="143"/>
        <v>.RossoCorsa-bg{background-color:#D40000;}</v>
      </c>
    </row>
    <row r="978" spans="2:16" ht="15.75">
      <c r="B978" s="1" t="s">
        <v>2056</v>
      </c>
      <c r="C978" t="s">
        <v>2057</v>
      </c>
      <c r="D978">
        <v>18870</v>
      </c>
      <c r="E978">
        <v>14280</v>
      </c>
      <c r="F978">
        <v>18870</v>
      </c>
      <c r="G978" t="str">
        <f t="shared" si="135"/>
        <v>RosyBrown</v>
      </c>
      <c r="H978" t="str">
        <f t="shared" si="136"/>
        <v>BC8F8F</v>
      </c>
      <c r="I978" t="str">
        <f t="shared" si="137"/>
        <v>BC</v>
      </c>
      <c r="J978" t="str">
        <f t="shared" si="138"/>
        <v>8F</v>
      </c>
      <c r="K978" t="str">
        <f t="shared" si="139"/>
        <v>8F</v>
      </c>
      <c r="L978">
        <f t="shared" si="140"/>
        <v>188</v>
      </c>
      <c r="M978">
        <f t="shared" si="141"/>
        <v>143</v>
      </c>
      <c r="N978">
        <f t="shared" si="142"/>
        <v>143</v>
      </c>
      <c r="P978" t="str">
        <f t="shared" si="143"/>
        <v>.RosyBrown-bg{background-color:#BC8F8F;}</v>
      </c>
    </row>
    <row r="979" spans="2:16" ht="15.75">
      <c r="B979" s="1" t="s">
        <v>2058</v>
      </c>
      <c r="C979" t="s">
        <v>2059</v>
      </c>
      <c r="D979">
        <v>0</v>
      </c>
      <c r="E979">
        <v>5610</v>
      </c>
      <c r="F979">
        <v>0</v>
      </c>
      <c r="G979" t="str">
        <f t="shared" si="135"/>
        <v>RoyalAzure</v>
      </c>
      <c r="H979" t="str">
        <f t="shared" si="136"/>
        <v>0038A8</v>
      </c>
      <c r="I979" t="str">
        <f t="shared" si="137"/>
        <v>00</v>
      </c>
      <c r="J979" t="str">
        <f t="shared" si="138"/>
        <v>38</v>
      </c>
      <c r="K979" t="str">
        <f t="shared" si="139"/>
        <v>A8</v>
      </c>
      <c r="L979">
        <f t="shared" si="140"/>
        <v>0</v>
      </c>
      <c r="M979">
        <f t="shared" si="141"/>
        <v>56</v>
      </c>
      <c r="N979">
        <f t="shared" si="142"/>
        <v>168</v>
      </c>
      <c r="P979" t="str">
        <f t="shared" si="143"/>
        <v>.RoyalAzure-bg{background-color:#0038A8;}</v>
      </c>
    </row>
    <row r="980" spans="2:16" ht="15.75">
      <c r="B980" s="1" t="s">
        <v>2060</v>
      </c>
      <c r="C980" t="s">
        <v>2061</v>
      </c>
      <c r="D980">
        <v>0</v>
      </c>
      <c r="E980">
        <v>3570</v>
      </c>
      <c r="F980">
        <v>0</v>
      </c>
      <c r="G980" t="str">
        <f t="shared" si="135"/>
        <v>RoyalBlue</v>
      </c>
      <c r="H980" t="str">
        <f t="shared" si="136"/>
        <v>002366</v>
      </c>
      <c r="I980" t="str">
        <f t="shared" si="137"/>
        <v>00</v>
      </c>
      <c r="J980" t="str">
        <f t="shared" si="138"/>
        <v>23</v>
      </c>
      <c r="K980" t="str">
        <f t="shared" si="139"/>
        <v>66</v>
      </c>
      <c r="L980">
        <f t="shared" si="140"/>
        <v>0</v>
      </c>
      <c r="M980">
        <f t="shared" si="141"/>
        <v>35</v>
      </c>
      <c r="N980">
        <f t="shared" si="142"/>
        <v>102</v>
      </c>
      <c r="P980" t="str">
        <f t="shared" si="143"/>
        <v>.RoyalBlue-bg{background-color:#002366;}</v>
      </c>
    </row>
    <row r="981" spans="2:16" ht="15.75">
      <c r="B981" s="1" t="s">
        <v>2060</v>
      </c>
      <c r="C981" t="s">
        <v>2062</v>
      </c>
      <c r="D981">
        <v>6375</v>
      </c>
      <c r="E981">
        <v>10455</v>
      </c>
      <c r="F981">
        <v>6375</v>
      </c>
      <c r="G981" t="str">
        <f t="shared" si="135"/>
        <v>RoyalBlue</v>
      </c>
      <c r="H981" t="str">
        <f t="shared" si="136"/>
        <v>4169E1</v>
      </c>
      <c r="I981" t="str">
        <f t="shared" si="137"/>
        <v>41</v>
      </c>
      <c r="J981" t="str">
        <f t="shared" si="138"/>
        <v>69</v>
      </c>
      <c r="K981" t="str">
        <f t="shared" si="139"/>
        <v>E1</v>
      </c>
      <c r="L981">
        <f t="shared" si="140"/>
        <v>65</v>
      </c>
      <c r="M981">
        <f t="shared" si="141"/>
        <v>105</v>
      </c>
      <c r="N981">
        <f t="shared" si="142"/>
        <v>225</v>
      </c>
      <c r="P981" t="str">
        <f t="shared" si="143"/>
        <v>.RoyalBlue-bg{background-color:#4169E1;}</v>
      </c>
    </row>
    <row r="982" spans="2:16" ht="15.75">
      <c r="B982" s="1" t="s">
        <v>2063</v>
      </c>
      <c r="C982" t="s">
        <v>2064</v>
      </c>
      <c r="D982">
        <v>20145</v>
      </c>
      <c r="E982">
        <v>4335</v>
      </c>
      <c r="F982">
        <v>20145</v>
      </c>
      <c r="G982" t="str">
        <f t="shared" si="135"/>
        <v>RoyalFuchsia</v>
      </c>
      <c r="H982" t="str">
        <f t="shared" si="136"/>
        <v>CA2C92</v>
      </c>
      <c r="I982" t="str">
        <f t="shared" si="137"/>
        <v>CA</v>
      </c>
      <c r="J982" t="str">
        <f t="shared" si="138"/>
        <v>2C</v>
      </c>
      <c r="K982" t="str">
        <f t="shared" si="139"/>
        <v>92</v>
      </c>
      <c r="L982">
        <f t="shared" si="140"/>
        <v>202</v>
      </c>
      <c r="M982">
        <f t="shared" si="141"/>
        <v>44</v>
      </c>
      <c r="N982">
        <f t="shared" si="142"/>
        <v>146</v>
      </c>
      <c r="P982" t="str">
        <f t="shared" si="143"/>
        <v>.RoyalFuchsia-bg{background-color:#CA2C92;}</v>
      </c>
    </row>
    <row r="983" spans="2:16" ht="15.75">
      <c r="B983" s="1" t="s">
        <v>2065</v>
      </c>
      <c r="C983" t="s">
        <v>2066</v>
      </c>
      <c r="D983">
        <v>11985</v>
      </c>
      <c r="E983">
        <v>8160</v>
      </c>
      <c r="F983">
        <v>11985</v>
      </c>
      <c r="G983" t="str">
        <f t="shared" si="135"/>
        <v>RoyalPurple</v>
      </c>
      <c r="H983" t="str">
        <f t="shared" si="136"/>
        <v>7851A9</v>
      </c>
      <c r="I983" t="str">
        <f t="shared" si="137"/>
        <v>78</v>
      </c>
      <c r="J983" t="str">
        <f t="shared" si="138"/>
        <v>51</v>
      </c>
      <c r="K983" t="str">
        <f t="shared" si="139"/>
        <v>A9</v>
      </c>
      <c r="L983">
        <f t="shared" si="140"/>
        <v>120</v>
      </c>
      <c r="M983">
        <f t="shared" si="141"/>
        <v>81</v>
      </c>
      <c r="N983">
        <f t="shared" si="142"/>
        <v>169</v>
      </c>
      <c r="P983" t="str">
        <f t="shared" si="143"/>
        <v>.RoyalPurple-bg{background-color:#7851A9;}</v>
      </c>
    </row>
    <row r="984" spans="2:16" ht="15.75">
      <c r="B984" s="1" t="s">
        <v>2067</v>
      </c>
      <c r="C984" t="s">
        <v>1629</v>
      </c>
      <c r="D984">
        <v>24990</v>
      </c>
      <c r="E984">
        <v>21675</v>
      </c>
      <c r="F984">
        <v>24990</v>
      </c>
      <c r="G984" t="str">
        <f t="shared" si="135"/>
        <v>RoyalYellow</v>
      </c>
      <c r="H984" t="str">
        <f t="shared" si="136"/>
        <v>FADA5E</v>
      </c>
      <c r="I984" t="str">
        <f t="shared" si="137"/>
        <v>FA</v>
      </c>
      <c r="J984" t="str">
        <f t="shared" si="138"/>
        <v>DA</v>
      </c>
      <c r="K984" t="str">
        <f t="shared" si="139"/>
        <v>5E</v>
      </c>
      <c r="L984">
        <f t="shared" si="140"/>
        <v>250</v>
      </c>
      <c r="M984">
        <f t="shared" si="141"/>
        <v>218</v>
      </c>
      <c r="N984">
        <f t="shared" si="142"/>
        <v>94</v>
      </c>
      <c r="P984" t="str">
        <f t="shared" si="143"/>
        <v>.RoyalYellow-bg{background-color:#FADA5E;}</v>
      </c>
    </row>
    <row r="985" spans="2:16" ht="15.75">
      <c r="B985" s="1" t="s">
        <v>2068</v>
      </c>
      <c r="C985" t="s">
        <v>2069</v>
      </c>
      <c r="D985">
        <v>20655</v>
      </c>
      <c r="E985">
        <v>6885</v>
      </c>
      <c r="F985">
        <v>20655</v>
      </c>
      <c r="G985" t="str">
        <f t="shared" si="135"/>
        <v>Ruber</v>
      </c>
      <c r="H985" t="str">
        <f t="shared" si="136"/>
        <v>CE4676</v>
      </c>
      <c r="I985" t="str">
        <f t="shared" si="137"/>
        <v>CE</v>
      </c>
      <c r="J985" t="str">
        <f t="shared" si="138"/>
        <v>46</v>
      </c>
      <c r="K985" t="str">
        <f t="shared" si="139"/>
        <v>76</v>
      </c>
      <c r="L985">
        <f t="shared" si="140"/>
        <v>206</v>
      </c>
      <c r="M985">
        <f t="shared" si="141"/>
        <v>70</v>
      </c>
      <c r="N985">
        <f t="shared" si="142"/>
        <v>118</v>
      </c>
      <c r="P985" t="str">
        <f t="shared" si="143"/>
        <v>.Ruber-bg{background-color:#CE4676;}</v>
      </c>
    </row>
    <row r="986" spans="2:16" ht="15.75">
      <c r="B986" s="1" t="s">
        <v>2070</v>
      </c>
      <c r="C986" t="s">
        <v>2071</v>
      </c>
      <c r="D986">
        <v>20910</v>
      </c>
      <c r="E986">
        <v>0</v>
      </c>
      <c r="F986">
        <v>20910</v>
      </c>
      <c r="G986" t="str">
        <f t="shared" si="135"/>
        <v>RubineRed</v>
      </c>
      <c r="H986" t="str">
        <f t="shared" si="136"/>
        <v>D10056</v>
      </c>
      <c r="I986" t="str">
        <f t="shared" si="137"/>
        <v>D1</v>
      </c>
      <c r="J986" t="str">
        <f t="shared" si="138"/>
        <v>00</v>
      </c>
      <c r="K986" t="str">
        <f t="shared" si="139"/>
        <v>56</v>
      </c>
      <c r="L986">
        <f t="shared" si="140"/>
        <v>209</v>
      </c>
      <c r="M986">
        <f t="shared" si="141"/>
        <v>0</v>
      </c>
      <c r="N986">
        <f t="shared" si="142"/>
        <v>86</v>
      </c>
      <c r="P986" t="str">
        <f t="shared" si="143"/>
        <v>.RubineRed-bg{background-color:#D10056;}</v>
      </c>
    </row>
    <row r="987" spans="2:16" ht="15.75">
      <c r="B987" s="1" t="s">
        <v>2072</v>
      </c>
      <c r="C987" t="s">
        <v>2073</v>
      </c>
      <c r="D987">
        <v>22440</v>
      </c>
      <c r="E987">
        <v>1785</v>
      </c>
      <c r="F987">
        <v>22440</v>
      </c>
      <c r="G987" t="str">
        <f t="shared" si="135"/>
        <v>Ruby</v>
      </c>
      <c r="H987" t="str">
        <f t="shared" si="136"/>
        <v>E0115F</v>
      </c>
      <c r="I987" t="str">
        <f t="shared" si="137"/>
        <v>E0</v>
      </c>
      <c r="J987" t="str">
        <f t="shared" si="138"/>
        <v>11</v>
      </c>
      <c r="K987" t="str">
        <f t="shared" si="139"/>
        <v>5F</v>
      </c>
      <c r="L987">
        <f t="shared" si="140"/>
        <v>224</v>
      </c>
      <c r="M987">
        <f t="shared" si="141"/>
        <v>17</v>
      </c>
      <c r="N987">
        <f t="shared" si="142"/>
        <v>95</v>
      </c>
      <c r="P987" t="str">
        <f t="shared" si="143"/>
        <v>.Ruby-bg{background-color:#E0115F;}</v>
      </c>
    </row>
    <row r="988" spans="2:16" ht="15.75">
      <c r="B988" s="1" t="s">
        <v>2074</v>
      </c>
      <c r="C988" t="s">
        <v>2075</v>
      </c>
      <c r="D988">
        <v>15555</v>
      </c>
      <c r="E988">
        <v>1785</v>
      </c>
      <c r="F988">
        <v>15555</v>
      </c>
      <c r="G988" t="str">
        <f t="shared" si="135"/>
        <v>RubyRed</v>
      </c>
      <c r="H988" t="str">
        <f t="shared" si="136"/>
        <v>9B111E</v>
      </c>
      <c r="I988" t="str">
        <f t="shared" si="137"/>
        <v>9B</v>
      </c>
      <c r="J988" t="str">
        <f t="shared" si="138"/>
        <v>11</v>
      </c>
      <c r="K988" t="str">
        <f t="shared" si="139"/>
        <v>1E</v>
      </c>
      <c r="L988">
        <f t="shared" si="140"/>
        <v>155</v>
      </c>
      <c r="M988">
        <f t="shared" si="141"/>
        <v>17</v>
      </c>
      <c r="N988">
        <f t="shared" si="142"/>
        <v>30</v>
      </c>
      <c r="P988" t="str">
        <f t="shared" si="143"/>
        <v>.RubyRed-bg{background-color:#9B111E;}</v>
      </c>
    </row>
    <row r="989" spans="2:16" ht="15.75">
      <c r="B989" s="1" t="s">
        <v>2076</v>
      </c>
      <c r="C989" t="s">
        <v>2077</v>
      </c>
      <c r="D989">
        <v>25500</v>
      </c>
      <c r="E989">
        <v>0</v>
      </c>
      <c r="F989">
        <v>25500</v>
      </c>
      <c r="G989" t="str">
        <f t="shared" si="135"/>
        <v>Ruddy</v>
      </c>
      <c r="H989" t="str">
        <f t="shared" si="136"/>
        <v>FF0028</v>
      </c>
      <c r="I989" t="str">
        <f t="shared" si="137"/>
        <v>FF</v>
      </c>
      <c r="J989" t="str">
        <f t="shared" si="138"/>
        <v>00</v>
      </c>
      <c r="K989" t="str">
        <f t="shared" si="139"/>
        <v>28</v>
      </c>
      <c r="L989">
        <f t="shared" si="140"/>
        <v>255</v>
      </c>
      <c r="M989">
        <f t="shared" si="141"/>
        <v>0</v>
      </c>
      <c r="N989">
        <f t="shared" si="142"/>
        <v>40</v>
      </c>
      <c r="P989" t="str">
        <f t="shared" si="143"/>
        <v>.Ruddy-bg{background-color:#FF0028;}</v>
      </c>
    </row>
    <row r="990" spans="2:16" ht="15.75">
      <c r="B990" s="1" t="s">
        <v>2078</v>
      </c>
      <c r="C990" t="s">
        <v>2079</v>
      </c>
      <c r="D990">
        <v>18615</v>
      </c>
      <c r="E990">
        <v>10200</v>
      </c>
      <c r="F990">
        <v>18615</v>
      </c>
      <c r="G990" t="str">
        <f t="shared" si="135"/>
        <v>RuddyBrown</v>
      </c>
      <c r="H990" t="str">
        <f t="shared" si="136"/>
        <v>BB6528</v>
      </c>
      <c r="I990" t="str">
        <f t="shared" si="137"/>
        <v>BB</v>
      </c>
      <c r="J990" t="str">
        <f t="shared" si="138"/>
        <v>65</v>
      </c>
      <c r="K990" t="str">
        <f t="shared" si="139"/>
        <v>28</v>
      </c>
      <c r="L990">
        <f t="shared" si="140"/>
        <v>187</v>
      </c>
      <c r="M990">
        <f t="shared" si="141"/>
        <v>101</v>
      </c>
      <c r="N990">
        <f t="shared" si="142"/>
        <v>40</v>
      </c>
      <c r="P990" t="str">
        <f t="shared" si="143"/>
        <v>.RuddyBrown-bg{background-color:#BB6528;}</v>
      </c>
    </row>
    <row r="991" spans="2:16" ht="15.75">
      <c r="B991" s="1" t="s">
        <v>2080</v>
      </c>
      <c r="C991" t="s">
        <v>2081</v>
      </c>
      <c r="D991">
        <v>22440</v>
      </c>
      <c r="E991">
        <v>14280</v>
      </c>
      <c r="F991">
        <v>22440</v>
      </c>
      <c r="G991" t="str">
        <f t="shared" si="135"/>
        <v>RuddyPink</v>
      </c>
      <c r="H991" t="str">
        <f t="shared" si="136"/>
        <v>E18E96</v>
      </c>
      <c r="I991" t="str">
        <f t="shared" si="137"/>
        <v>E1</v>
      </c>
      <c r="J991" t="str">
        <f t="shared" si="138"/>
        <v>8E</v>
      </c>
      <c r="K991" t="str">
        <f t="shared" si="139"/>
        <v>96</v>
      </c>
      <c r="L991">
        <f t="shared" si="140"/>
        <v>225</v>
      </c>
      <c r="M991">
        <f t="shared" si="141"/>
        <v>142</v>
      </c>
      <c r="N991">
        <f t="shared" si="142"/>
        <v>150</v>
      </c>
      <c r="P991" t="str">
        <f t="shared" si="143"/>
        <v>.RuddyPink-bg{background-color:#E18E96;}</v>
      </c>
    </row>
    <row r="992" spans="2:16" ht="15.75">
      <c r="B992" s="1" t="s">
        <v>2082</v>
      </c>
      <c r="C992" t="s">
        <v>2083</v>
      </c>
      <c r="D992">
        <v>16830</v>
      </c>
      <c r="E992">
        <v>2805</v>
      </c>
      <c r="F992">
        <v>16830</v>
      </c>
      <c r="G992" t="str">
        <f t="shared" si="135"/>
        <v>Rufous</v>
      </c>
      <c r="H992" t="str">
        <f t="shared" si="136"/>
        <v>A81C07</v>
      </c>
      <c r="I992" t="str">
        <f t="shared" si="137"/>
        <v>A8</v>
      </c>
      <c r="J992" t="str">
        <f t="shared" si="138"/>
        <v>1C</v>
      </c>
      <c r="K992" t="str">
        <f t="shared" si="139"/>
        <v>07</v>
      </c>
      <c r="L992">
        <f t="shared" si="140"/>
        <v>168</v>
      </c>
      <c r="M992">
        <f t="shared" si="141"/>
        <v>28</v>
      </c>
      <c r="N992">
        <f t="shared" si="142"/>
        <v>7</v>
      </c>
      <c r="P992" t="str">
        <f t="shared" si="143"/>
        <v>.Rufous-bg{background-color:#A81C07;}</v>
      </c>
    </row>
    <row r="993" spans="2:16" ht="15.75">
      <c r="B993" s="1" t="s">
        <v>2084</v>
      </c>
      <c r="C993" t="s">
        <v>2085</v>
      </c>
      <c r="D993">
        <v>12750</v>
      </c>
      <c r="E993">
        <v>6885</v>
      </c>
      <c r="F993">
        <v>12750</v>
      </c>
      <c r="G993" t="str">
        <f t="shared" si="135"/>
        <v>Russet</v>
      </c>
      <c r="H993" t="str">
        <f t="shared" si="136"/>
        <v>80461B</v>
      </c>
      <c r="I993" t="str">
        <f t="shared" si="137"/>
        <v>80</v>
      </c>
      <c r="J993" t="str">
        <f t="shared" si="138"/>
        <v>46</v>
      </c>
      <c r="K993" t="str">
        <f t="shared" si="139"/>
        <v>1B</v>
      </c>
      <c r="L993">
        <f t="shared" si="140"/>
        <v>128</v>
      </c>
      <c r="M993">
        <f t="shared" si="141"/>
        <v>70</v>
      </c>
      <c r="N993">
        <f t="shared" si="142"/>
        <v>27</v>
      </c>
      <c r="P993" t="str">
        <f t="shared" si="143"/>
        <v>.Russet-bg{background-color:#80461B;}</v>
      </c>
    </row>
    <row r="994" spans="2:16" ht="15.75">
      <c r="B994" s="1" t="s">
        <v>2086</v>
      </c>
      <c r="C994" t="s">
        <v>2087</v>
      </c>
      <c r="D994">
        <v>10200</v>
      </c>
      <c r="E994">
        <v>14535</v>
      </c>
      <c r="F994">
        <v>10200</v>
      </c>
      <c r="G994" t="str">
        <f t="shared" si="135"/>
        <v>RussianGreen</v>
      </c>
      <c r="H994" t="str">
        <f t="shared" si="136"/>
        <v>679267</v>
      </c>
      <c r="I994" t="str">
        <f t="shared" si="137"/>
        <v>67</v>
      </c>
      <c r="J994" t="str">
        <f t="shared" si="138"/>
        <v>92</v>
      </c>
      <c r="K994" t="str">
        <f t="shared" si="139"/>
        <v>67</v>
      </c>
      <c r="L994">
        <f t="shared" si="140"/>
        <v>103</v>
      </c>
      <c r="M994">
        <f t="shared" si="141"/>
        <v>146</v>
      </c>
      <c r="N994">
        <f t="shared" si="142"/>
        <v>103</v>
      </c>
      <c r="P994" t="str">
        <f t="shared" si="143"/>
        <v>.RussianGreen-bg{background-color:#679267;}</v>
      </c>
    </row>
    <row r="995" spans="2:16" ht="15.75">
      <c r="B995" s="1" t="s">
        <v>2088</v>
      </c>
      <c r="C995" t="s">
        <v>2089</v>
      </c>
      <c r="D995">
        <v>5100</v>
      </c>
      <c r="E995">
        <v>2295</v>
      </c>
      <c r="F995">
        <v>5100</v>
      </c>
      <c r="G995" t="str">
        <f t="shared" si="135"/>
        <v>RussianViolet</v>
      </c>
      <c r="H995" t="str">
        <f t="shared" si="136"/>
        <v>32174D</v>
      </c>
      <c r="I995" t="str">
        <f t="shared" si="137"/>
        <v>32</v>
      </c>
      <c r="J995" t="str">
        <f t="shared" si="138"/>
        <v>17</v>
      </c>
      <c r="K995" t="str">
        <f t="shared" si="139"/>
        <v>4D</v>
      </c>
      <c r="L995">
        <f t="shared" si="140"/>
        <v>50</v>
      </c>
      <c r="M995">
        <f t="shared" si="141"/>
        <v>23</v>
      </c>
      <c r="N995">
        <f t="shared" si="142"/>
        <v>77</v>
      </c>
      <c r="P995" t="str">
        <f t="shared" si="143"/>
        <v>.RussianViolet-bg{background-color:#32174D;}</v>
      </c>
    </row>
    <row r="996" spans="2:16" ht="15.75">
      <c r="B996" s="1" t="s">
        <v>2090</v>
      </c>
      <c r="C996" t="s">
        <v>2091</v>
      </c>
      <c r="D996">
        <v>18360</v>
      </c>
      <c r="E996">
        <v>6375</v>
      </c>
      <c r="F996">
        <v>18360</v>
      </c>
      <c r="G996" t="str">
        <f t="shared" si="135"/>
        <v>Rust</v>
      </c>
      <c r="H996" t="str">
        <f t="shared" si="136"/>
        <v>B7410E</v>
      </c>
      <c r="I996" t="str">
        <f t="shared" si="137"/>
        <v>B7</v>
      </c>
      <c r="J996" t="str">
        <f t="shared" si="138"/>
        <v>41</v>
      </c>
      <c r="K996" t="str">
        <f t="shared" si="139"/>
        <v>0E</v>
      </c>
      <c r="L996">
        <f t="shared" si="140"/>
        <v>183</v>
      </c>
      <c r="M996">
        <f t="shared" si="141"/>
        <v>65</v>
      </c>
      <c r="N996">
        <f t="shared" si="142"/>
        <v>14</v>
      </c>
      <c r="P996" t="str">
        <f t="shared" si="143"/>
        <v>.Rust-bg{background-color:#B7410E;}</v>
      </c>
    </row>
    <row r="997" spans="2:16" ht="15.75">
      <c r="B997" s="1" t="s">
        <v>2092</v>
      </c>
      <c r="C997" t="s">
        <v>2093</v>
      </c>
      <c r="D997">
        <v>21675</v>
      </c>
      <c r="E997">
        <v>4335</v>
      </c>
      <c r="F997">
        <v>21675</v>
      </c>
      <c r="G997" t="str">
        <f t="shared" si="135"/>
        <v>RustyRed</v>
      </c>
      <c r="H997" t="str">
        <f t="shared" si="136"/>
        <v>DA2C43</v>
      </c>
      <c r="I997" t="str">
        <f t="shared" si="137"/>
        <v>DA</v>
      </c>
      <c r="J997" t="str">
        <f t="shared" si="138"/>
        <v>2C</v>
      </c>
      <c r="K997" t="str">
        <f t="shared" si="139"/>
        <v>43</v>
      </c>
      <c r="L997">
        <f t="shared" si="140"/>
        <v>218</v>
      </c>
      <c r="M997">
        <f t="shared" si="141"/>
        <v>44</v>
      </c>
      <c r="N997">
        <f t="shared" si="142"/>
        <v>67</v>
      </c>
      <c r="P997" t="str">
        <f t="shared" si="143"/>
        <v>.RustyRed-bg{background-color:#DA2C43;}</v>
      </c>
    </row>
    <row r="998" spans="2:16" ht="15.75">
      <c r="B998" s="1" t="s">
        <v>2094</v>
      </c>
      <c r="C998" t="s">
        <v>570</v>
      </c>
      <c r="D998">
        <v>0</v>
      </c>
      <c r="E998">
        <v>8670</v>
      </c>
      <c r="F998">
        <v>0</v>
      </c>
      <c r="G998" t="str">
        <f t="shared" si="135"/>
        <v>SacramentoStateGreen</v>
      </c>
      <c r="H998" t="str">
        <f t="shared" si="136"/>
        <v>00563F</v>
      </c>
      <c r="I998" t="str">
        <f t="shared" si="137"/>
        <v>00</v>
      </c>
      <c r="J998" t="str">
        <f t="shared" si="138"/>
        <v>56</v>
      </c>
      <c r="K998" t="str">
        <f t="shared" si="139"/>
        <v>3F</v>
      </c>
      <c r="L998">
        <f t="shared" si="140"/>
        <v>0</v>
      </c>
      <c r="M998">
        <f t="shared" si="141"/>
        <v>86</v>
      </c>
      <c r="N998">
        <f t="shared" si="142"/>
        <v>63</v>
      </c>
      <c r="P998" t="str">
        <f t="shared" si="143"/>
        <v>.SacramentoStateGreen-bg{background-color:#00563F;}</v>
      </c>
    </row>
    <row r="999" spans="2:16" ht="15.75">
      <c r="B999" s="1" t="s">
        <v>2095</v>
      </c>
      <c r="C999" t="s">
        <v>2096</v>
      </c>
      <c r="D999">
        <v>14025</v>
      </c>
      <c r="E999">
        <v>6885</v>
      </c>
      <c r="F999">
        <v>14025</v>
      </c>
      <c r="G999" t="str">
        <f t="shared" si="135"/>
        <v>SaddleBrown</v>
      </c>
      <c r="H999" t="str">
        <f t="shared" si="136"/>
        <v>8B4513</v>
      </c>
      <c r="I999" t="str">
        <f t="shared" si="137"/>
        <v>8B</v>
      </c>
      <c r="J999" t="str">
        <f t="shared" si="138"/>
        <v>45</v>
      </c>
      <c r="K999" t="str">
        <f t="shared" si="139"/>
        <v>13</v>
      </c>
      <c r="L999">
        <f t="shared" si="140"/>
        <v>139</v>
      </c>
      <c r="M999">
        <f t="shared" si="141"/>
        <v>69</v>
      </c>
      <c r="N999">
        <f t="shared" si="142"/>
        <v>19</v>
      </c>
      <c r="P999" t="str">
        <f t="shared" si="143"/>
        <v>.SaddleBrown-bg{background-color:#8B4513;}</v>
      </c>
    </row>
    <row r="1000" spans="2:16" ht="15.75">
      <c r="B1000" s="1" t="s">
        <v>2097</v>
      </c>
      <c r="C1000" t="s">
        <v>2098</v>
      </c>
      <c r="D1000">
        <v>25500</v>
      </c>
      <c r="E1000">
        <v>11985</v>
      </c>
      <c r="F1000">
        <v>25500</v>
      </c>
      <c r="G1000" t="str">
        <f t="shared" si="135"/>
        <v>SafetyOrange</v>
      </c>
      <c r="H1000" t="str">
        <f t="shared" si="136"/>
        <v>FF7800</v>
      </c>
      <c r="I1000" t="str">
        <f t="shared" si="137"/>
        <v>FF</v>
      </c>
      <c r="J1000" t="str">
        <f t="shared" si="138"/>
        <v>78</v>
      </c>
      <c r="K1000" t="str">
        <f t="shared" si="139"/>
        <v>00</v>
      </c>
      <c r="L1000">
        <f t="shared" si="140"/>
        <v>255</v>
      </c>
      <c r="M1000">
        <f t="shared" si="141"/>
        <v>120</v>
      </c>
      <c r="N1000">
        <f t="shared" si="142"/>
        <v>0</v>
      </c>
      <c r="P1000" t="str">
        <f t="shared" si="143"/>
        <v>.SafetyOrange-bg{background-color:#FF7800;}</v>
      </c>
    </row>
    <row r="1001" spans="2:16" ht="15.75">
      <c r="B1001" s="1" t="s">
        <v>2099</v>
      </c>
      <c r="C1001" t="s">
        <v>2100</v>
      </c>
      <c r="D1001">
        <v>25500</v>
      </c>
      <c r="E1001">
        <v>10200</v>
      </c>
      <c r="F1001">
        <v>25500</v>
      </c>
      <c r="G1001" t="str">
        <f t="shared" si="135"/>
        <v>SafetyOrangeBlazeOrange</v>
      </c>
      <c r="H1001" t="str">
        <f t="shared" si="136"/>
        <v>FF6700</v>
      </c>
      <c r="I1001" t="str">
        <f t="shared" si="137"/>
        <v>FF</v>
      </c>
      <c r="J1001" t="str">
        <f t="shared" si="138"/>
        <v>67</v>
      </c>
      <c r="K1001" t="str">
        <f t="shared" si="139"/>
        <v>00</v>
      </c>
      <c r="L1001">
        <f t="shared" si="140"/>
        <v>255</v>
      </c>
      <c r="M1001">
        <f t="shared" si="141"/>
        <v>103</v>
      </c>
      <c r="N1001">
        <f t="shared" si="142"/>
        <v>0</v>
      </c>
      <c r="P1001" t="str">
        <f t="shared" si="143"/>
        <v>.SafetyOrangeBlazeOrange-bg{background-color:#FF6700;}</v>
      </c>
    </row>
    <row r="1002" spans="2:16" ht="15.75">
      <c r="B1002" s="1" t="s">
        <v>2101</v>
      </c>
      <c r="C1002" t="s">
        <v>2102</v>
      </c>
      <c r="D1002">
        <v>23715</v>
      </c>
      <c r="E1002">
        <v>20910</v>
      </c>
      <c r="F1002">
        <v>23715</v>
      </c>
      <c r="G1002" t="str">
        <f t="shared" si="135"/>
        <v>SafetyYellow</v>
      </c>
      <c r="H1002" t="str">
        <f t="shared" si="136"/>
        <v>EED202</v>
      </c>
      <c r="I1002" t="str">
        <f t="shared" si="137"/>
        <v>EE</v>
      </c>
      <c r="J1002" t="str">
        <f t="shared" si="138"/>
        <v>D2</v>
      </c>
      <c r="K1002" t="str">
        <f t="shared" si="139"/>
        <v>02</v>
      </c>
      <c r="L1002">
        <f t="shared" si="140"/>
        <v>238</v>
      </c>
      <c r="M1002">
        <f t="shared" si="141"/>
        <v>210</v>
      </c>
      <c r="N1002">
        <f t="shared" si="142"/>
        <v>2</v>
      </c>
      <c r="P1002" t="str">
        <f t="shared" si="143"/>
        <v>.SafetyYellow-bg{background-color:#EED202;}</v>
      </c>
    </row>
    <row r="1003" spans="2:16" ht="15.75">
      <c r="B1003" s="1" t="s">
        <v>2103</v>
      </c>
      <c r="C1003" t="s">
        <v>2104</v>
      </c>
      <c r="D1003">
        <v>24480</v>
      </c>
      <c r="E1003">
        <v>19635</v>
      </c>
      <c r="F1003">
        <v>24480</v>
      </c>
      <c r="G1003" t="str">
        <f t="shared" si="135"/>
        <v>Saffron</v>
      </c>
      <c r="H1003" t="str">
        <f t="shared" si="136"/>
        <v>F4C430</v>
      </c>
      <c r="I1003" t="str">
        <f t="shared" si="137"/>
        <v>F4</v>
      </c>
      <c r="J1003" t="str">
        <f t="shared" si="138"/>
        <v>C4</v>
      </c>
      <c r="K1003" t="str">
        <f t="shared" si="139"/>
        <v>30</v>
      </c>
      <c r="L1003">
        <f t="shared" si="140"/>
        <v>244</v>
      </c>
      <c r="M1003">
        <f t="shared" si="141"/>
        <v>196</v>
      </c>
      <c r="N1003">
        <f t="shared" si="142"/>
        <v>48</v>
      </c>
      <c r="P1003" t="str">
        <f t="shared" si="143"/>
        <v>.Saffron-bg{background-color:#F4C430;}</v>
      </c>
    </row>
    <row r="1004" spans="2:16" ht="15.75">
      <c r="B1004" s="1" t="s">
        <v>2105</v>
      </c>
      <c r="C1004" t="s">
        <v>2106</v>
      </c>
      <c r="D1004">
        <v>18870</v>
      </c>
      <c r="E1004">
        <v>18360</v>
      </c>
      <c r="F1004">
        <v>18870</v>
      </c>
      <c r="G1004" t="str">
        <f t="shared" si="135"/>
        <v>Sage</v>
      </c>
      <c r="H1004" t="str">
        <f t="shared" si="136"/>
        <v>BCB88A</v>
      </c>
      <c r="I1004" t="str">
        <f t="shared" si="137"/>
        <v>BC</v>
      </c>
      <c r="J1004" t="str">
        <f t="shared" si="138"/>
        <v>B8</v>
      </c>
      <c r="K1004" t="str">
        <f t="shared" si="139"/>
        <v>8A</v>
      </c>
      <c r="L1004">
        <f t="shared" si="140"/>
        <v>188</v>
      </c>
      <c r="M1004">
        <f t="shared" si="141"/>
        <v>184</v>
      </c>
      <c r="N1004">
        <f t="shared" si="142"/>
        <v>138</v>
      </c>
      <c r="P1004" t="str">
        <f t="shared" si="143"/>
        <v>.Sage-bg{background-color:#BCB88A;}</v>
      </c>
    </row>
    <row r="1005" spans="2:16" ht="15.75">
      <c r="B1005" s="1" t="s">
        <v>2107</v>
      </c>
      <c r="C1005" t="s">
        <v>2108</v>
      </c>
      <c r="D1005">
        <v>3570</v>
      </c>
      <c r="E1005">
        <v>4080</v>
      </c>
      <c r="F1005">
        <v>3570</v>
      </c>
      <c r="G1005" t="str">
        <f t="shared" si="135"/>
        <v>StPatricksBlue</v>
      </c>
      <c r="H1005" t="str">
        <f t="shared" si="136"/>
        <v>23297A</v>
      </c>
      <c r="I1005" t="str">
        <f t="shared" si="137"/>
        <v>23</v>
      </c>
      <c r="J1005" t="str">
        <f t="shared" si="138"/>
        <v>29</v>
      </c>
      <c r="K1005" t="str">
        <f t="shared" si="139"/>
        <v>7A</v>
      </c>
      <c r="L1005">
        <f t="shared" si="140"/>
        <v>35</v>
      </c>
      <c r="M1005">
        <f t="shared" si="141"/>
        <v>41</v>
      </c>
      <c r="N1005">
        <f t="shared" si="142"/>
        <v>122</v>
      </c>
      <c r="P1005" t="str">
        <f t="shared" si="143"/>
        <v>.StPatricksBlue-bg{background-color:#23297A;}</v>
      </c>
    </row>
    <row r="1006" spans="2:16" ht="15.75">
      <c r="B1006" s="1" t="s">
        <v>2109</v>
      </c>
      <c r="C1006" t="s">
        <v>2110</v>
      </c>
      <c r="D1006">
        <v>24990</v>
      </c>
      <c r="E1006">
        <v>12750</v>
      </c>
      <c r="F1006">
        <v>24990</v>
      </c>
      <c r="G1006" t="str">
        <f t="shared" si="135"/>
        <v>Salmon</v>
      </c>
      <c r="H1006" t="str">
        <f t="shared" si="136"/>
        <v>FA8072</v>
      </c>
      <c r="I1006" t="str">
        <f t="shared" si="137"/>
        <v>FA</v>
      </c>
      <c r="J1006" t="str">
        <f t="shared" si="138"/>
        <v>80</v>
      </c>
      <c r="K1006" t="str">
        <f t="shared" si="139"/>
        <v>72</v>
      </c>
      <c r="L1006">
        <f t="shared" si="140"/>
        <v>250</v>
      </c>
      <c r="M1006">
        <f t="shared" si="141"/>
        <v>128</v>
      </c>
      <c r="N1006">
        <f t="shared" si="142"/>
        <v>114</v>
      </c>
      <c r="P1006" t="str">
        <f t="shared" si="143"/>
        <v>.Salmon-bg{background-color:#FA8072;}</v>
      </c>
    </row>
    <row r="1007" spans="2:16" ht="15.75">
      <c r="B1007" s="1" t="s">
        <v>2111</v>
      </c>
      <c r="C1007" t="s">
        <v>2112</v>
      </c>
      <c r="D1007">
        <v>25500</v>
      </c>
      <c r="E1007">
        <v>14535</v>
      </c>
      <c r="F1007">
        <v>25500</v>
      </c>
      <c r="G1007" t="str">
        <f t="shared" si="135"/>
        <v>SalmonPink</v>
      </c>
      <c r="H1007" t="str">
        <f t="shared" si="136"/>
        <v>FF91A4</v>
      </c>
      <c r="I1007" t="str">
        <f t="shared" si="137"/>
        <v>FF</v>
      </c>
      <c r="J1007" t="str">
        <f t="shared" si="138"/>
        <v>91</v>
      </c>
      <c r="K1007" t="str">
        <f t="shared" si="139"/>
        <v>A4</v>
      </c>
      <c r="L1007">
        <f t="shared" si="140"/>
        <v>255</v>
      </c>
      <c r="M1007">
        <f t="shared" si="141"/>
        <v>145</v>
      </c>
      <c r="N1007">
        <f t="shared" si="142"/>
        <v>164</v>
      </c>
      <c r="P1007" t="str">
        <f t="shared" si="143"/>
        <v>.SalmonPink-bg{background-color:#FF91A4;}</v>
      </c>
    </row>
    <row r="1008" spans="2:16" ht="15.75">
      <c r="B1008" s="1" t="s">
        <v>2113</v>
      </c>
      <c r="C1008" t="s">
        <v>949</v>
      </c>
      <c r="D1008">
        <v>19380</v>
      </c>
      <c r="E1008">
        <v>17850</v>
      </c>
      <c r="F1008">
        <v>19380</v>
      </c>
      <c r="G1008" t="str">
        <f t="shared" si="135"/>
        <v>Sand</v>
      </c>
      <c r="H1008" t="str">
        <f t="shared" si="136"/>
        <v>C2B280</v>
      </c>
      <c r="I1008" t="str">
        <f t="shared" si="137"/>
        <v>C2</v>
      </c>
      <c r="J1008" t="str">
        <f t="shared" si="138"/>
        <v>B2</v>
      </c>
      <c r="K1008" t="str">
        <f t="shared" si="139"/>
        <v>80</v>
      </c>
      <c r="L1008">
        <f t="shared" si="140"/>
        <v>194</v>
      </c>
      <c r="M1008">
        <f t="shared" si="141"/>
        <v>178</v>
      </c>
      <c r="N1008">
        <f t="shared" si="142"/>
        <v>128</v>
      </c>
      <c r="P1008" t="str">
        <f t="shared" si="143"/>
        <v>.Sand-bg{background-color:#C2B280;}</v>
      </c>
    </row>
    <row r="1009" spans="2:16" ht="15.75">
      <c r="B1009" s="1" t="s">
        <v>2114</v>
      </c>
      <c r="C1009" t="s">
        <v>353</v>
      </c>
      <c r="D1009">
        <v>15045</v>
      </c>
      <c r="E1009">
        <v>11220</v>
      </c>
      <c r="F1009">
        <v>15045</v>
      </c>
      <c r="G1009" t="str">
        <f t="shared" si="135"/>
        <v>SandDune</v>
      </c>
      <c r="H1009" t="str">
        <f t="shared" si="136"/>
        <v>967117</v>
      </c>
      <c r="I1009" t="str">
        <f t="shared" si="137"/>
        <v>96</v>
      </c>
      <c r="J1009" t="str">
        <f t="shared" si="138"/>
        <v>71</v>
      </c>
      <c r="K1009" t="str">
        <f t="shared" si="139"/>
        <v>17</v>
      </c>
      <c r="L1009">
        <f t="shared" si="140"/>
        <v>150</v>
      </c>
      <c r="M1009">
        <f t="shared" si="141"/>
        <v>113</v>
      </c>
      <c r="N1009">
        <f t="shared" si="142"/>
        <v>23</v>
      </c>
      <c r="P1009" t="str">
        <f t="shared" si="143"/>
        <v>.SandDune-bg{background-color:#967117;}</v>
      </c>
    </row>
    <row r="1010" spans="2:16" ht="15.75">
      <c r="B1010" s="1" t="s">
        <v>2115</v>
      </c>
      <c r="C1010" t="s">
        <v>2116</v>
      </c>
      <c r="D1010">
        <v>23715</v>
      </c>
      <c r="E1010">
        <v>21420</v>
      </c>
      <c r="F1010">
        <v>23715</v>
      </c>
      <c r="G1010" t="str">
        <f t="shared" si="135"/>
        <v>Sandstorm</v>
      </c>
      <c r="H1010" t="str">
        <f t="shared" si="136"/>
        <v>ECD540</v>
      </c>
      <c r="I1010" t="str">
        <f t="shared" si="137"/>
        <v>EC</v>
      </c>
      <c r="J1010" t="str">
        <f t="shared" si="138"/>
        <v>D5</v>
      </c>
      <c r="K1010" t="str">
        <f t="shared" si="139"/>
        <v>40</v>
      </c>
      <c r="L1010">
        <f t="shared" si="140"/>
        <v>236</v>
      </c>
      <c r="M1010">
        <f t="shared" si="141"/>
        <v>213</v>
      </c>
      <c r="N1010">
        <f t="shared" si="142"/>
        <v>64</v>
      </c>
      <c r="P1010" t="str">
        <f t="shared" si="143"/>
        <v>.Sandstorm-bg{background-color:#ECD540;}</v>
      </c>
    </row>
    <row r="1011" spans="2:16" ht="15.75">
      <c r="B1011" s="1" t="s">
        <v>2117</v>
      </c>
      <c r="C1011" t="s">
        <v>2118</v>
      </c>
      <c r="D1011">
        <v>24480</v>
      </c>
      <c r="E1011">
        <v>16320</v>
      </c>
      <c r="F1011">
        <v>24480</v>
      </c>
      <c r="G1011" t="str">
        <f t="shared" si="135"/>
        <v>SandyBrown</v>
      </c>
      <c r="H1011" t="str">
        <f t="shared" si="136"/>
        <v>F4A460</v>
      </c>
      <c r="I1011" t="str">
        <f t="shared" si="137"/>
        <v>F4</v>
      </c>
      <c r="J1011" t="str">
        <f t="shared" si="138"/>
        <v>A4</v>
      </c>
      <c r="K1011" t="str">
        <f t="shared" si="139"/>
        <v>60</v>
      </c>
      <c r="L1011">
        <f t="shared" si="140"/>
        <v>244</v>
      </c>
      <c r="M1011">
        <f t="shared" si="141"/>
        <v>164</v>
      </c>
      <c r="N1011">
        <f t="shared" si="142"/>
        <v>96</v>
      </c>
      <c r="P1011" t="str">
        <f t="shared" si="143"/>
        <v>.SandyBrown-bg{background-color:#F4A460;}</v>
      </c>
    </row>
    <row r="1012" spans="2:16" ht="15.75">
      <c r="B1012" s="1" t="s">
        <v>2119</v>
      </c>
      <c r="C1012" t="s">
        <v>353</v>
      </c>
      <c r="D1012">
        <v>15045</v>
      </c>
      <c r="E1012">
        <v>11220</v>
      </c>
      <c r="F1012">
        <v>15045</v>
      </c>
      <c r="G1012" t="str">
        <f t="shared" si="135"/>
        <v>SandyTaupe</v>
      </c>
      <c r="H1012" t="str">
        <f t="shared" si="136"/>
        <v>967117</v>
      </c>
      <c r="I1012" t="str">
        <f t="shared" si="137"/>
        <v>96</v>
      </c>
      <c r="J1012" t="str">
        <f t="shared" si="138"/>
        <v>71</v>
      </c>
      <c r="K1012" t="str">
        <f t="shared" si="139"/>
        <v>17</v>
      </c>
      <c r="L1012">
        <f t="shared" si="140"/>
        <v>150</v>
      </c>
      <c r="M1012">
        <f t="shared" si="141"/>
        <v>113</v>
      </c>
      <c r="N1012">
        <f t="shared" si="142"/>
        <v>23</v>
      </c>
      <c r="P1012" t="str">
        <f t="shared" si="143"/>
        <v>.SandyTaupe-bg{background-color:#967117;}</v>
      </c>
    </row>
    <row r="1013" spans="2:16" ht="15.75">
      <c r="B1013" s="1" t="s">
        <v>2120</v>
      </c>
      <c r="C1013" t="s">
        <v>2121</v>
      </c>
      <c r="D1013">
        <v>14535</v>
      </c>
      <c r="E1013">
        <v>0</v>
      </c>
      <c r="F1013">
        <v>14535</v>
      </c>
      <c r="G1013" t="str">
        <f t="shared" si="135"/>
        <v>Sangria</v>
      </c>
      <c r="H1013" t="str">
        <f t="shared" si="136"/>
        <v>92000A</v>
      </c>
      <c r="I1013" t="str">
        <f t="shared" si="137"/>
        <v>92</v>
      </c>
      <c r="J1013" t="str">
        <f t="shared" si="138"/>
        <v>00</v>
      </c>
      <c r="K1013" t="str">
        <f t="shared" si="139"/>
        <v>0A</v>
      </c>
      <c r="L1013">
        <f t="shared" si="140"/>
        <v>146</v>
      </c>
      <c r="M1013">
        <f t="shared" si="141"/>
        <v>0</v>
      </c>
      <c r="N1013">
        <f t="shared" si="142"/>
        <v>10</v>
      </c>
      <c r="P1013" t="str">
        <f t="shared" si="143"/>
        <v>.Sangria-bg{background-color:#92000A;}</v>
      </c>
    </row>
    <row r="1014" spans="2:16" ht="15.75">
      <c r="B1014" s="1" t="s">
        <v>2122</v>
      </c>
      <c r="C1014" t="s">
        <v>2123</v>
      </c>
      <c r="D1014">
        <v>7905</v>
      </c>
      <c r="E1014">
        <v>12495</v>
      </c>
      <c r="F1014">
        <v>7905</v>
      </c>
      <c r="G1014" t="str">
        <f t="shared" si="135"/>
        <v>SapGreen</v>
      </c>
      <c r="H1014" t="str">
        <f t="shared" si="136"/>
        <v>507D2A</v>
      </c>
      <c r="I1014" t="str">
        <f t="shared" si="137"/>
        <v>50</v>
      </c>
      <c r="J1014" t="str">
        <f t="shared" si="138"/>
        <v>7D</v>
      </c>
      <c r="K1014" t="str">
        <f t="shared" si="139"/>
        <v>2A</v>
      </c>
      <c r="L1014">
        <f t="shared" si="140"/>
        <v>80</v>
      </c>
      <c r="M1014">
        <f t="shared" si="141"/>
        <v>125</v>
      </c>
      <c r="N1014">
        <f t="shared" si="142"/>
        <v>42</v>
      </c>
      <c r="P1014" t="str">
        <f t="shared" si="143"/>
        <v>.SapGreen-bg{background-color:#507D2A;}</v>
      </c>
    </row>
    <row r="1015" spans="2:16" ht="15.75">
      <c r="B1015" s="1" t="s">
        <v>2124</v>
      </c>
      <c r="C1015" t="s">
        <v>2125</v>
      </c>
      <c r="D1015">
        <v>1530</v>
      </c>
      <c r="E1015">
        <v>8160</v>
      </c>
      <c r="F1015">
        <v>1530</v>
      </c>
      <c r="G1015" t="str">
        <f t="shared" si="135"/>
        <v>Sapphire</v>
      </c>
      <c r="H1015" t="str">
        <f t="shared" si="136"/>
        <v>0F52BA</v>
      </c>
      <c r="I1015" t="str">
        <f t="shared" si="137"/>
        <v>0F</v>
      </c>
      <c r="J1015" t="str">
        <f t="shared" si="138"/>
        <v>52</v>
      </c>
      <c r="K1015" t="str">
        <f t="shared" si="139"/>
        <v>BA</v>
      </c>
      <c r="L1015">
        <f t="shared" si="140"/>
        <v>15</v>
      </c>
      <c r="M1015">
        <f t="shared" si="141"/>
        <v>82</v>
      </c>
      <c r="N1015">
        <f t="shared" si="142"/>
        <v>186</v>
      </c>
      <c r="P1015" t="str">
        <f t="shared" si="143"/>
        <v>.Sapphire-bg{background-color:#0F52BA;}</v>
      </c>
    </row>
    <row r="1016" spans="2:16" ht="15.75">
      <c r="B1016" s="1" t="s">
        <v>2126</v>
      </c>
      <c r="C1016" t="s">
        <v>1536</v>
      </c>
      <c r="D1016">
        <v>0</v>
      </c>
      <c r="E1016">
        <v>10200</v>
      </c>
      <c r="F1016">
        <v>0</v>
      </c>
      <c r="G1016" t="str">
        <f t="shared" si="135"/>
        <v>SapphireBlue</v>
      </c>
      <c r="H1016" t="str">
        <f t="shared" si="136"/>
        <v>0067A5</v>
      </c>
      <c r="I1016" t="str">
        <f t="shared" si="137"/>
        <v>00</v>
      </c>
      <c r="J1016" t="str">
        <f t="shared" si="138"/>
        <v>67</v>
      </c>
      <c r="K1016" t="str">
        <f t="shared" si="139"/>
        <v>A5</v>
      </c>
      <c r="L1016">
        <f t="shared" si="140"/>
        <v>0</v>
      </c>
      <c r="M1016">
        <f t="shared" si="141"/>
        <v>103</v>
      </c>
      <c r="N1016">
        <f t="shared" si="142"/>
        <v>165</v>
      </c>
      <c r="P1016" t="str">
        <f t="shared" si="143"/>
        <v>.SapphireBlue-bg{background-color:#0067A5;}</v>
      </c>
    </row>
    <row r="1017" spans="2:16" ht="15.75">
      <c r="B1017" s="1" t="s">
        <v>2127</v>
      </c>
      <c r="C1017" t="s">
        <v>2128</v>
      </c>
      <c r="D1017">
        <v>25500</v>
      </c>
      <c r="E1017">
        <v>6885</v>
      </c>
      <c r="F1017">
        <v>25500</v>
      </c>
      <c r="G1017" t="str">
        <f t="shared" si="135"/>
        <v>SasquatchSocks</v>
      </c>
      <c r="H1017" t="str">
        <f t="shared" si="136"/>
        <v>FF4681</v>
      </c>
      <c r="I1017" t="str">
        <f t="shared" si="137"/>
        <v>FF</v>
      </c>
      <c r="J1017" t="str">
        <f t="shared" si="138"/>
        <v>46</v>
      </c>
      <c r="K1017" t="str">
        <f t="shared" si="139"/>
        <v>81</v>
      </c>
      <c r="L1017">
        <f t="shared" si="140"/>
        <v>255</v>
      </c>
      <c r="M1017">
        <f t="shared" si="141"/>
        <v>70</v>
      </c>
      <c r="N1017">
        <f t="shared" si="142"/>
        <v>129</v>
      </c>
      <c r="P1017" t="str">
        <f t="shared" si="143"/>
        <v>.SasquatchSocks-bg{background-color:#FF4681;}</v>
      </c>
    </row>
    <row r="1018" spans="2:16" ht="15.75">
      <c r="B1018" s="1" t="s">
        <v>2129</v>
      </c>
      <c r="C1018" t="s">
        <v>2130</v>
      </c>
      <c r="D1018">
        <v>20400</v>
      </c>
      <c r="E1018">
        <v>16065</v>
      </c>
      <c r="F1018">
        <v>20400</v>
      </c>
      <c r="G1018" t="str">
        <f t="shared" si="135"/>
        <v>SatinSheenGold</v>
      </c>
      <c r="H1018" t="str">
        <f t="shared" si="136"/>
        <v>CBA135</v>
      </c>
      <c r="I1018" t="str">
        <f t="shared" si="137"/>
        <v>CB</v>
      </c>
      <c r="J1018" t="str">
        <f t="shared" si="138"/>
        <v>A1</v>
      </c>
      <c r="K1018" t="str">
        <f t="shared" si="139"/>
        <v>35</v>
      </c>
      <c r="L1018">
        <f t="shared" si="140"/>
        <v>203</v>
      </c>
      <c r="M1018">
        <f t="shared" si="141"/>
        <v>161</v>
      </c>
      <c r="N1018">
        <f t="shared" si="142"/>
        <v>53</v>
      </c>
      <c r="P1018" t="str">
        <f t="shared" si="143"/>
        <v>.SatinSheenGold-bg{background-color:#CBA135;}</v>
      </c>
    </row>
    <row r="1019" spans="2:16" ht="15.75">
      <c r="B1019" s="1" t="s">
        <v>2131</v>
      </c>
      <c r="C1019" t="s">
        <v>2132</v>
      </c>
      <c r="D1019">
        <v>25500</v>
      </c>
      <c r="E1019">
        <v>3570</v>
      </c>
      <c r="F1019">
        <v>25500</v>
      </c>
      <c r="G1019" t="str">
        <f t="shared" si="135"/>
        <v>Scarlet</v>
      </c>
      <c r="H1019" t="str">
        <f t="shared" si="136"/>
        <v>FF2400</v>
      </c>
      <c r="I1019" t="str">
        <f t="shared" si="137"/>
        <v>FF</v>
      </c>
      <c r="J1019" t="str">
        <f t="shared" si="138"/>
        <v>24</v>
      </c>
      <c r="K1019" t="str">
        <f t="shared" si="139"/>
        <v>00</v>
      </c>
      <c r="L1019">
        <f t="shared" si="140"/>
        <v>255</v>
      </c>
      <c r="M1019">
        <f t="shared" si="141"/>
        <v>36</v>
      </c>
      <c r="N1019">
        <f t="shared" si="142"/>
        <v>0</v>
      </c>
      <c r="P1019" t="str">
        <f t="shared" si="143"/>
        <v>.Scarlet-bg{background-color:#FF2400;}</v>
      </c>
    </row>
    <row r="1020" spans="2:16" ht="15.75">
      <c r="B1020" s="1" t="s">
        <v>2131</v>
      </c>
      <c r="C1020" t="s">
        <v>2133</v>
      </c>
      <c r="D1020">
        <v>25245</v>
      </c>
      <c r="E1020">
        <v>1275</v>
      </c>
      <c r="F1020">
        <v>25245</v>
      </c>
      <c r="G1020" t="str">
        <f t="shared" si="135"/>
        <v>Scarlet</v>
      </c>
      <c r="H1020" t="str">
        <f t="shared" si="136"/>
        <v>FD0E35</v>
      </c>
      <c r="I1020" t="str">
        <f t="shared" si="137"/>
        <v>FD</v>
      </c>
      <c r="J1020" t="str">
        <f t="shared" si="138"/>
        <v>0E</v>
      </c>
      <c r="K1020" t="str">
        <f t="shared" si="139"/>
        <v>35</v>
      </c>
      <c r="L1020">
        <f t="shared" si="140"/>
        <v>253</v>
      </c>
      <c r="M1020">
        <f t="shared" si="141"/>
        <v>14</v>
      </c>
      <c r="N1020">
        <f t="shared" si="142"/>
        <v>53</v>
      </c>
      <c r="P1020" t="str">
        <f t="shared" si="143"/>
        <v>.Scarlet-bg{background-color:#FD0E35;}</v>
      </c>
    </row>
    <row r="1021" spans="2:16" ht="15.75">
      <c r="B1021" s="1" t="s">
        <v>2134</v>
      </c>
      <c r="C1021" t="s">
        <v>317</v>
      </c>
      <c r="D1021">
        <v>25500</v>
      </c>
      <c r="E1021">
        <v>14535</v>
      </c>
      <c r="F1021">
        <v>25500</v>
      </c>
      <c r="G1021" t="str">
        <f t="shared" si="135"/>
        <v>SchaussPink</v>
      </c>
      <c r="H1021" t="str">
        <f t="shared" si="136"/>
        <v>FF91AF</v>
      </c>
      <c r="I1021" t="str">
        <f t="shared" si="137"/>
        <v>FF</v>
      </c>
      <c r="J1021" t="str">
        <f t="shared" si="138"/>
        <v>91</v>
      </c>
      <c r="K1021" t="str">
        <f t="shared" si="139"/>
        <v>AF</v>
      </c>
      <c r="L1021">
        <f t="shared" si="140"/>
        <v>255</v>
      </c>
      <c r="M1021">
        <f t="shared" si="141"/>
        <v>145</v>
      </c>
      <c r="N1021">
        <f t="shared" si="142"/>
        <v>175</v>
      </c>
      <c r="P1021" t="str">
        <f t="shared" si="143"/>
        <v>.SchaussPink-bg{background-color:#FF91AF;}</v>
      </c>
    </row>
    <row r="1022" spans="2:16" ht="15.75">
      <c r="B1022" s="1" t="s">
        <v>2135</v>
      </c>
      <c r="C1022" t="s">
        <v>2136</v>
      </c>
      <c r="D1022">
        <v>25500</v>
      </c>
      <c r="E1022">
        <v>21675</v>
      </c>
      <c r="F1022">
        <v>25500</v>
      </c>
      <c r="G1022" t="str">
        <f t="shared" si="135"/>
        <v>SchoolBusYellow</v>
      </c>
      <c r="H1022" t="str">
        <f t="shared" si="136"/>
        <v>FFD800</v>
      </c>
      <c r="I1022" t="str">
        <f t="shared" si="137"/>
        <v>FF</v>
      </c>
      <c r="J1022" t="str">
        <f t="shared" si="138"/>
        <v>D8</v>
      </c>
      <c r="K1022" t="str">
        <f t="shared" si="139"/>
        <v>00</v>
      </c>
      <c r="L1022">
        <f t="shared" si="140"/>
        <v>255</v>
      </c>
      <c r="M1022">
        <f t="shared" si="141"/>
        <v>216</v>
      </c>
      <c r="N1022">
        <f t="shared" si="142"/>
        <v>0</v>
      </c>
      <c r="P1022" t="str">
        <f t="shared" si="143"/>
        <v>.SchoolBusYellow-bg{background-color:#FFD800;}</v>
      </c>
    </row>
    <row r="1023" spans="2:16" ht="15.75">
      <c r="B1023" s="1" t="s">
        <v>2137</v>
      </c>
      <c r="C1023" t="s">
        <v>2138</v>
      </c>
      <c r="D1023">
        <v>10200</v>
      </c>
      <c r="E1023">
        <v>25500</v>
      </c>
      <c r="F1023">
        <v>10200</v>
      </c>
      <c r="G1023" t="str">
        <f t="shared" si="135"/>
        <v>ScreaminGreen</v>
      </c>
      <c r="H1023" t="str">
        <f t="shared" si="136"/>
        <v>66FF66</v>
      </c>
      <c r="I1023" t="str">
        <f t="shared" si="137"/>
        <v>66</v>
      </c>
      <c r="J1023" t="str">
        <f t="shared" si="138"/>
        <v>FF</v>
      </c>
      <c r="K1023" t="str">
        <f t="shared" si="139"/>
        <v>66</v>
      </c>
      <c r="L1023">
        <f t="shared" si="140"/>
        <v>102</v>
      </c>
      <c r="M1023">
        <f t="shared" si="141"/>
        <v>255</v>
      </c>
      <c r="N1023">
        <f t="shared" si="142"/>
        <v>102</v>
      </c>
      <c r="P1023" t="str">
        <f t="shared" si="143"/>
        <v>.ScreaminGreen-bg{background-color:#66FF66;}</v>
      </c>
    </row>
    <row r="1024" spans="2:16" ht="15.75">
      <c r="B1024" s="1" t="s">
        <v>2139</v>
      </c>
      <c r="C1024" t="s">
        <v>2140</v>
      </c>
      <c r="D1024">
        <v>0</v>
      </c>
      <c r="E1024">
        <v>10455</v>
      </c>
      <c r="F1024">
        <v>0</v>
      </c>
      <c r="G1024" t="str">
        <f t="shared" si="135"/>
        <v>SeaBlue</v>
      </c>
      <c r="H1024" t="str">
        <f t="shared" si="136"/>
        <v>006994</v>
      </c>
      <c r="I1024" t="str">
        <f t="shared" si="137"/>
        <v>00</v>
      </c>
      <c r="J1024" t="str">
        <f t="shared" si="138"/>
        <v>69</v>
      </c>
      <c r="K1024" t="str">
        <f t="shared" si="139"/>
        <v>94</v>
      </c>
      <c r="L1024">
        <f t="shared" si="140"/>
        <v>0</v>
      </c>
      <c r="M1024">
        <f t="shared" si="141"/>
        <v>105</v>
      </c>
      <c r="N1024">
        <f t="shared" si="142"/>
        <v>148</v>
      </c>
      <c r="P1024" t="str">
        <f t="shared" si="143"/>
        <v>.SeaBlue-bg{background-color:#006994;}</v>
      </c>
    </row>
    <row r="1025" spans="2:16" ht="15.75">
      <c r="B1025" s="1" t="s">
        <v>2141</v>
      </c>
      <c r="C1025" t="s">
        <v>2142</v>
      </c>
      <c r="D1025">
        <v>4590</v>
      </c>
      <c r="E1025">
        <v>14025</v>
      </c>
      <c r="F1025">
        <v>4590</v>
      </c>
      <c r="G1025" t="str">
        <f t="shared" si="135"/>
        <v>SeaGreen</v>
      </c>
      <c r="H1025" t="str">
        <f t="shared" si="136"/>
        <v>2E8B57</v>
      </c>
      <c r="I1025" t="str">
        <f t="shared" si="137"/>
        <v>2E</v>
      </c>
      <c r="J1025" t="str">
        <f t="shared" si="138"/>
        <v>8B</v>
      </c>
      <c r="K1025" t="str">
        <f t="shared" si="139"/>
        <v>57</v>
      </c>
      <c r="L1025">
        <f t="shared" si="140"/>
        <v>46</v>
      </c>
      <c r="M1025">
        <f t="shared" si="141"/>
        <v>139</v>
      </c>
      <c r="N1025">
        <f t="shared" si="142"/>
        <v>87</v>
      </c>
      <c r="P1025" t="str">
        <f t="shared" si="143"/>
        <v>.SeaGreen-bg{background-color:#2E8B57;}</v>
      </c>
    </row>
    <row r="1026" spans="2:16" ht="15.75">
      <c r="B1026" s="1" t="s">
        <v>2143</v>
      </c>
      <c r="C1026" t="s">
        <v>2144</v>
      </c>
      <c r="D1026">
        <v>7395</v>
      </c>
      <c r="E1026">
        <v>19890</v>
      </c>
      <c r="F1026">
        <v>7395</v>
      </c>
      <c r="G1026" t="str">
        <f t="shared" si="135"/>
        <v>SeaSerpent</v>
      </c>
      <c r="H1026" t="str">
        <f t="shared" si="136"/>
        <v>4BC7CF</v>
      </c>
      <c r="I1026" t="str">
        <f t="shared" si="137"/>
        <v>4B</v>
      </c>
      <c r="J1026" t="str">
        <f t="shared" si="138"/>
        <v>C7</v>
      </c>
      <c r="K1026" t="str">
        <f t="shared" si="139"/>
        <v>CF</v>
      </c>
      <c r="L1026">
        <f t="shared" si="140"/>
        <v>75</v>
      </c>
      <c r="M1026">
        <f t="shared" si="141"/>
        <v>199</v>
      </c>
      <c r="N1026">
        <f t="shared" si="142"/>
        <v>207</v>
      </c>
      <c r="P1026" t="str">
        <f t="shared" si="143"/>
        <v>.SeaSerpent-bg{background-color:#4BC7CF;}</v>
      </c>
    </row>
    <row r="1027" spans="2:16" ht="15.75">
      <c r="B1027" s="1" t="s">
        <v>2145</v>
      </c>
      <c r="C1027" t="s">
        <v>2146</v>
      </c>
      <c r="D1027">
        <v>5100</v>
      </c>
      <c r="E1027">
        <v>2040</v>
      </c>
      <c r="F1027">
        <v>5100</v>
      </c>
      <c r="G1027" t="str">
        <f t="shared" si="135"/>
        <v>SealBrown</v>
      </c>
      <c r="H1027" t="str">
        <f t="shared" si="136"/>
        <v>59260B</v>
      </c>
      <c r="I1027" t="str">
        <f t="shared" si="137"/>
        <v>59</v>
      </c>
      <c r="J1027" t="str">
        <f t="shared" si="138"/>
        <v>26</v>
      </c>
      <c r="K1027" t="str">
        <f t="shared" si="139"/>
        <v>0B</v>
      </c>
      <c r="L1027">
        <f t="shared" si="140"/>
        <v>89</v>
      </c>
      <c r="M1027">
        <f t="shared" si="141"/>
        <v>38</v>
      </c>
      <c r="N1027">
        <f t="shared" si="142"/>
        <v>11</v>
      </c>
      <c r="P1027" t="str">
        <f t="shared" si="143"/>
        <v>.SealBrown-bg{background-color:#59260B;}</v>
      </c>
    </row>
    <row r="1028" spans="2:16" ht="15.75">
      <c r="B1028" s="1" t="s">
        <v>2147</v>
      </c>
      <c r="C1028" t="s">
        <v>2148</v>
      </c>
      <c r="D1028">
        <v>25500</v>
      </c>
      <c r="E1028">
        <v>24480</v>
      </c>
      <c r="F1028">
        <v>25500</v>
      </c>
      <c r="G1028" t="str">
        <f t="shared" ref="G1028:G1091" si="144">SUBSTITUTE(PROPER(AlphaNumericOnly(B1028))," ","")</f>
        <v>Seashell</v>
      </c>
      <c r="H1028" t="str">
        <f t="shared" ref="H1028:H1091" si="145">RIGHT(C1028,6)</f>
        <v>FFF5EE</v>
      </c>
      <c r="I1028" t="str">
        <f t="shared" ref="I1028:I1091" si="146">MID($H1028,1,2)</f>
        <v>FF</v>
      </c>
      <c r="J1028" t="str">
        <f t="shared" ref="J1028:J1091" si="147">MID($H1028,3,2)</f>
        <v>F5</v>
      </c>
      <c r="K1028" t="str">
        <f t="shared" ref="K1028:K1091" si="148">MID($H1028,5,2)</f>
        <v>EE</v>
      </c>
      <c r="L1028">
        <f t="shared" ref="L1028:L1091" si="149">HEX2DEC(I1028)</f>
        <v>255</v>
      </c>
      <c r="M1028">
        <f t="shared" ref="M1028:M1091" si="150">HEX2DEC(J1028)</f>
        <v>245</v>
      </c>
      <c r="N1028">
        <f t="shared" ref="N1028:N1091" si="151">HEX2DEC(K1028)</f>
        <v>238</v>
      </c>
      <c r="P1028" t="str">
        <f t="shared" ref="P1028:P1091" si="152">"."&amp;G1028&amp;$P$1&amp;"{"&amp;$P$2&amp;":#"&amp;H1028&amp;";}"</f>
        <v>.Seashell-bg{background-color:#FFF5EE;}</v>
      </c>
    </row>
    <row r="1029" spans="2:16" ht="15.75">
      <c r="B1029" s="1" t="s">
        <v>2149</v>
      </c>
      <c r="C1029" t="s">
        <v>2150</v>
      </c>
      <c r="D1029">
        <v>25500</v>
      </c>
      <c r="E1029">
        <v>18615</v>
      </c>
      <c r="F1029">
        <v>25500</v>
      </c>
      <c r="G1029" t="str">
        <f t="shared" si="144"/>
        <v>SelectiveYellow</v>
      </c>
      <c r="H1029" t="str">
        <f t="shared" si="145"/>
        <v>FFBA00</v>
      </c>
      <c r="I1029" t="str">
        <f t="shared" si="146"/>
        <v>FF</v>
      </c>
      <c r="J1029" t="str">
        <f t="shared" si="147"/>
        <v>BA</v>
      </c>
      <c r="K1029" t="str">
        <f t="shared" si="148"/>
        <v>00</v>
      </c>
      <c r="L1029">
        <f t="shared" si="149"/>
        <v>255</v>
      </c>
      <c r="M1029">
        <f t="shared" si="150"/>
        <v>186</v>
      </c>
      <c r="N1029">
        <f t="shared" si="151"/>
        <v>0</v>
      </c>
      <c r="P1029" t="str">
        <f t="shared" si="152"/>
        <v>.SelectiveYellow-bg{background-color:#FFBA00;}</v>
      </c>
    </row>
    <row r="1030" spans="2:16" ht="15.75">
      <c r="B1030" s="1" t="s">
        <v>2151</v>
      </c>
      <c r="C1030" t="s">
        <v>2152</v>
      </c>
      <c r="D1030">
        <v>11220</v>
      </c>
      <c r="E1030">
        <v>6630</v>
      </c>
      <c r="F1030">
        <v>11220</v>
      </c>
      <c r="G1030" t="str">
        <f t="shared" si="144"/>
        <v>Sepia</v>
      </c>
      <c r="H1030" t="str">
        <f t="shared" si="145"/>
        <v>704214</v>
      </c>
      <c r="I1030" t="str">
        <f t="shared" si="146"/>
        <v>70</v>
      </c>
      <c r="J1030" t="str">
        <f t="shared" si="147"/>
        <v>42</v>
      </c>
      <c r="K1030" t="str">
        <f t="shared" si="148"/>
        <v>14</v>
      </c>
      <c r="L1030">
        <f t="shared" si="149"/>
        <v>112</v>
      </c>
      <c r="M1030">
        <f t="shared" si="150"/>
        <v>66</v>
      </c>
      <c r="N1030">
        <f t="shared" si="151"/>
        <v>20</v>
      </c>
      <c r="P1030" t="str">
        <f t="shared" si="152"/>
        <v>.Sepia-bg{background-color:#704214;}</v>
      </c>
    </row>
    <row r="1031" spans="2:16" ht="15.75">
      <c r="B1031" s="1" t="s">
        <v>2153</v>
      </c>
      <c r="C1031" t="s">
        <v>2154</v>
      </c>
      <c r="D1031">
        <v>13770</v>
      </c>
      <c r="E1031">
        <v>11985</v>
      </c>
      <c r="F1031">
        <v>13770</v>
      </c>
      <c r="G1031" t="str">
        <f t="shared" si="144"/>
        <v>Shadow</v>
      </c>
      <c r="H1031" t="str">
        <f t="shared" si="145"/>
        <v>8A795D</v>
      </c>
      <c r="I1031" t="str">
        <f t="shared" si="146"/>
        <v>8A</v>
      </c>
      <c r="J1031" t="str">
        <f t="shared" si="147"/>
        <v>79</v>
      </c>
      <c r="K1031" t="str">
        <f t="shared" si="148"/>
        <v>5D</v>
      </c>
      <c r="L1031">
        <f t="shared" si="149"/>
        <v>138</v>
      </c>
      <c r="M1031">
        <f t="shared" si="150"/>
        <v>121</v>
      </c>
      <c r="N1031">
        <f t="shared" si="151"/>
        <v>93</v>
      </c>
      <c r="P1031" t="str">
        <f t="shared" si="152"/>
        <v>.Shadow-bg{background-color:#8A795D;}</v>
      </c>
    </row>
    <row r="1032" spans="2:16" ht="15.75">
      <c r="B1032" s="1" t="s">
        <v>2155</v>
      </c>
      <c r="C1032" t="s">
        <v>2156</v>
      </c>
      <c r="D1032">
        <v>11985</v>
      </c>
      <c r="E1032">
        <v>14025</v>
      </c>
      <c r="F1032">
        <v>11985</v>
      </c>
      <c r="G1032" t="str">
        <f t="shared" si="144"/>
        <v>ShadowBlue</v>
      </c>
      <c r="H1032" t="str">
        <f t="shared" si="145"/>
        <v>778BA5</v>
      </c>
      <c r="I1032" t="str">
        <f t="shared" si="146"/>
        <v>77</v>
      </c>
      <c r="J1032" t="str">
        <f t="shared" si="147"/>
        <v>8B</v>
      </c>
      <c r="K1032" t="str">
        <f t="shared" si="148"/>
        <v>A5</v>
      </c>
      <c r="L1032">
        <f t="shared" si="149"/>
        <v>119</v>
      </c>
      <c r="M1032">
        <f t="shared" si="150"/>
        <v>139</v>
      </c>
      <c r="N1032">
        <f t="shared" si="151"/>
        <v>165</v>
      </c>
      <c r="P1032" t="str">
        <f t="shared" si="152"/>
        <v>.ShadowBlue-bg{background-color:#778BA5;}</v>
      </c>
    </row>
    <row r="1033" spans="2:16" ht="15.75">
      <c r="B1033" s="1" t="s">
        <v>2157</v>
      </c>
      <c r="C1033" t="s">
        <v>2158</v>
      </c>
      <c r="D1033">
        <v>25500</v>
      </c>
      <c r="E1033">
        <v>20655</v>
      </c>
      <c r="F1033">
        <v>25500</v>
      </c>
      <c r="G1033" t="str">
        <f t="shared" si="144"/>
        <v>Shampoo</v>
      </c>
      <c r="H1033" t="str">
        <f t="shared" si="145"/>
        <v>FFCFF1</v>
      </c>
      <c r="I1033" t="str">
        <f t="shared" si="146"/>
        <v>FF</v>
      </c>
      <c r="J1033" t="str">
        <f t="shared" si="147"/>
        <v>CF</v>
      </c>
      <c r="K1033" t="str">
        <f t="shared" si="148"/>
        <v>F1</v>
      </c>
      <c r="L1033">
        <f t="shared" si="149"/>
        <v>255</v>
      </c>
      <c r="M1033">
        <f t="shared" si="150"/>
        <v>207</v>
      </c>
      <c r="N1033">
        <f t="shared" si="151"/>
        <v>241</v>
      </c>
      <c r="P1033" t="str">
        <f t="shared" si="152"/>
        <v>.Shampoo-bg{background-color:#FFCFF1;}</v>
      </c>
    </row>
    <row r="1034" spans="2:16" ht="15.75">
      <c r="B1034" s="1" t="s">
        <v>2159</v>
      </c>
      <c r="C1034" t="s">
        <v>2160</v>
      </c>
      <c r="D1034">
        <v>0</v>
      </c>
      <c r="E1034">
        <v>15810</v>
      </c>
      <c r="F1034">
        <v>0</v>
      </c>
      <c r="G1034" t="str">
        <f t="shared" si="144"/>
        <v>ShamrockGreen</v>
      </c>
      <c r="H1034" t="str">
        <f t="shared" si="145"/>
        <v>009E60</v>
      </c>
      <c r="I1034" t="str">
        <f t="shared" si="146"/>
        <v>00</v>
      </c>
      <c r="J1034" t="str">
        <f t="shared" si="147"/>
        <v>9E</v>
      </c>
      <c r="K1034" t="str">
        <f t="shared" si="148"/>
        <v>60</v>
      </c>
      <c r="L1034">
        <f t="shared" si="149"/>
        <v>0</v>
      </c>
      <c r="M1034">
        <f t="shared" si="150"/>
        <v>158</v>
      </c>
      <c r="N1034">
        <f t="shared" si="151"/>
        <v>96</v>
      </c>
      <c r="P1034" t="str">
        <f t="shared" si="152"/>
        <v>.ShamrockGreen-bg{background-color:#009E60;}</v>
      </c>
    </row>
    <row r="1035" spans="2:16" ht="15.75">
      <c r="B1035" s="1" t="s">
        <v>2161</v>
      </c>
      <c r="C1035" t="s">
        <v>2162</v>
      </c>
      <c r="D1035">
        <v>14280</v>
      </c>
      <c r="E1035">
        <v>21165</v>
      </c>
      <c r="F1035">
        <v>14280</v>
      </c>
      <c r="G1035" t="str">
        <f t="shared" si="144"/>
        <v>SheenGreen</v>
      </c>
      <c r="H1035" t="str">
        <f t="shared" si="145"/>
        <v>8FD400</v>
      </c>
      <c r="I1035" t="str">
        <f t="shared" si="146"/>
        <v>8F</v>
      </c>
      <c r="J1035" t="str">
        <f t="shared" si="147"/>
        <v>D4</v>
      </c>
      <c r="K1035" t="str">
        <f t="shared" si="148"/>
        <v>00</v>
      </c>
      <c r="L1035">
        <f t="shared" si="149"/>
        <v>143</v>
      </c>
      <c r="M1035">
        <f t="shared" si="150"/>
        <v>212</v>
      </c>
      <c r="N1035">
        <f t="shared" si="151"/>
        <v>0</v>
      </c>
      <c r="P1035" t="str">
        <f t="shared" si="152"/>
        <v>.SheenGreen-bg{background-color:#8FD400;}</v>
      </c>
    </row>
    <row r="1036" spans="2:16" ht="15.75">
      <c r="B1036" s="1" t="s">
        <v>2163</v>
      </c>
      <c r="C1036" t="s">
        <v>2164</v>
      </c>
      <c r="D1036">
        <v>21675</v>
      </c>
      <c r="E1036">
        <v>13515</v>
      </c>
      <c r="F1036">
        <v>21675</v>
      </c>
      <c r="G1036" t="str">
        <f t="shared" si="144"/>
        <v>ShimmeringBlush</v>
      </c>
      <c r="H1036" t="str">
        <f t="shared" si="145"/>
        <v>D98695</v>
      </c>
      <c r="I1036" t="str">
        <f t="shared" si="146"/>
        <v>D9</v>
      </c>
      <c r="J1036" t="str">
        <f t="shared" si="147"/>
        <v>86</v>
      </c>
      <c r="K1036" t="str">
        <f t="shared" si="148"/>
        <v>95</v>
      </c>
      <c r="L1036">
        <f t="shared" si="149"/>
        <v>217</v>
      </c>
      <c r="M1036">
        <f t="shared" si="150"/>
        <v>134</v>
      </c>
      <c r="N1036">
        <f t="shared" si="151"/>
        <v>149</v>
      </c>
      <c r="P1036" t="str">
        <f t="shared" si="152"/>
        <v>.ShimmeringBlush-bg{background-color:#D98695;}</v>
      </c>
    </row>
    <row r="1037" spans="2:16" ht="15.75">
      <c r="B1037" s="1" t="s">
        <v>2165</v>
      </c>
      <c r="C1037" t="s">
        <v>2166</v>
      </c>
      <c r="D1037">
        <v>9435</v>
      </c>
      <c r="E1037">
        <v>16575</v>
      </c>
      <c r="F1037">
        <v>9435</v>
      </c>
      <c r="G1037" t="str">
        <f t="shared" si="144"/>
        <v>ShinyShamrock</v>
      </c>
      <c r="H1037" t="str">
        <f t="shared" si="145"/>
        <v>5FA778</v>
      </c>
      <c r="I1037" t="str">
        <f t="shared" si="146"/>
        <v>5F</v>
      </c>
      <c r="J1037" t="str">
        <f t="shared" si="147"/>
        <v>A7</v>
      </c>
      <c r="K1037" t="str">
        <f t="shared" si="148"/>
        <v>78</v>
      </c>
      <c r="L1037">
        <f t="shared" si="149"/>
        <v>95</v>
      </c>
      <c r="M1037">
        <f t="shared" si="150"/>
        <v>167</v>
      </c>
      <c r="N1037">
        <f t="shared" si="151"/>
        <v>120</v>
      </c>
      <c r="P1037" t="str">
        <f t="shared" si="152"/>
        <v>.ShinyShamrock-bg{background-color:#5FA778;}</v>
      </c>
    </row>
    <row r="1038" spans="2:16" ht="15.75">
      <c r="B1038" s="1" t="s">
        <v>2167</v>
      </c>
      <c r="C1038" t="s">
        <v>2168</v>
      </c>
      <c r="D1038">
        <v>25245</v>
      </c>
      <c r="E1038">
        <v>1530</v>
      </c>
      <c r="F1038">
        <v>25245</v>
      </c>
      <c r="G1038" t="str">
        <f t="shared" si="144"/>
        <v>ShockingPink</v>
      </c>
      <c r="H1038" t="str">
        <f t="shared" si="145"/>
        <v>FC0FC0</v>
      </c>
      <c r="I1038" t="str">
        <f t="shared" si="146"/>
        <v>FC</v>
      </c>
      <c r="J1038" t="str">
        <f t="shared" si="147"/>
        <v>0F</v>
      </c>
      <c r="K1038" t="str">
        <f t="shared" si="148"/>
        <v>C0</v>
      </c>
      <c r="L1038">
        <f t="shared" si="149"/>
        <v>252</v>
      </c>
      <c r="M1038">
        <f t="shared" si="150"/>
        <v>15</v>
      </c>
      <c r="N1038">
        <f t="shared" si="151"/>
        <v>192</v>
      </c>
      <c r="P1038" t="str">
        <f t="shared" si="152"/>
        <v>.ShockingPink-bg{background-color:#FC0FC0;}</v>
      </c>
    </row>
    <row r="1039" spans="2:16" ht="15.75">
      <c r="B1039" s="1" t="s">
        <v>2169</v>
      </c>
      <c r="C1039" t="s">
        <v>2170</v>
      </c>
      <c r="D1039">
        <v>25500</v>
      </c>
      <c r="E1039">
        <v>11220</v>
      </c>
      <c r="F1039">
        <v>25500</v>
      </c>
      <c r="G1039" t="str">
        <f t="shared" si="144"/>
        <v>ShockingPinkCrayola</v>
      </c>
      <c r="H1039" t="str">
        <f t="shared" si="145"/>
        <v>FF6FFF</v>
      </c>
      <c r="I1039" t="str">
        <f t="shared" si="146"/>
        <v>FF</v>
      </c>
      <c r="J1039" t="str">
        <f t="shared" si="147"/>
        <v>6F</v>
      </c>
      <c r="K1039" t="str">
        <f t="shared" si="148"/>
        <v>FF</v>
      </c>
      <c r="L1039">
        <f t="shared" si="149"/>
        <v>255</v>
      </c>
      <c r="M1039">
        <f t="shared" si="150"/>
        <v>111</v>
      </c>
      <c r="N1039">
        <f t="shared" si="151"/>
        <v>255</v>
      </c>
      <c r="P1039" t="str">
        <f t="shared" si="152"/>
        <v>.ShockingPinkCrayola-bg{background-color:#FF6FFF;}</v>
      </c>
    </row>
    <row r="1040" spans="2:16" ht="15.75">
      <c r="B1040" s="1" t="s">
        <v>2171</v>
      </c>
      <c r="C1040" t="s">
        <v>1299</v>
      </c>
      <c r="D1040">
        <v>13515</v>
      </c>
      <c r="E1040">
        <v>4590</v>
      </c>
      <c r="F1040">
        <v>13515</v>
      </c>
      <c r="G1040" t="str">
        <f t="shared" si="144"/>
        <v>Sienna</v>
      </c>
      <c r="H1040" t="str">
        <f t="shared" si="145"/>
        <v>882D17</v>
      </c>
      <c r="I1040" t="str">
        <f t="shared" si="146"/>
        <v>88</v>
      </c>
      <c r="J1040" t="str">
        <f t="shared" si="147"/>
        <v>2D</v>
      </c>
      <c r="K1040" t="str">
        <f t="shared" si="148"/>
        <v>17</v>
      </c>
      <c r="L1040">
        <f t="shared" si="149"/>
        <v>136</v>
      </c>
      <c r="M1040">
        <f t="shared" si="150"/>
        <v>45</v>
      </c>
      <c r="N1040">
        <f t="shared" si="151"/>
        <v>23</v>
      </c>
      <c r="P1040" t="str">
        <f t="shared" si="152"/>
        <v>.Sienna-bg{background-color:#882D17;}</v>
      </c>
    </row>
    <row r="1041" spans="2:16" ht="15.75">
      <c r="B1041" s="1" t="s">
        <v>2172</v>
      </c>
      <c r="C1041" t="s">
        <v>2173</v>
      </c>
      <c r="D1041">
        <v>19125</v>
      </c>
      <c r="E1041">
        <v>19125</v>
      </c>
      <c r="F1041">
        <v>19125</v>
      </c>
      <c r="G1041" t="str">
        <f t="shared" si="144"/>
        <v>Silver</v>
      </c>
      <c r="H1041" t="str">
        <f t="shared" si="145"/>
        <v>C0C0C0</v>
      </c>
      <c r="I1041" t="str">
        <f t="shared" si="146"/>
        <v>C0</v>
      </c>
      <c r="J1041" t="str">
        <f t="shared" si="147"/>
        <v>C0</v>
      </c>
      <c r="K1041" t="str">
        <f t="shared" si="148"/>
        <v>C0</v>
      </c>
      <c r="L1041">
        <f t="shared" si="149"/>
        <v>192</v>
      </c>
      <c r="M1041">
        <f t="shared" si="150"/>
        <v>192</v>
      </c>
      <c r="N1041">
        <f t="shared" si="151"/>
        <v>192</v>
      </c>
      <c r="P1041" t="str">
        <f t="shared" si="152"/>
        <v>.Silver-bg{background-color:#C0C0C0;}</v>
      </c>
    </row>
    <row r="1042" spans="2:16" ht="15.75">
      <c r="B1042" s="1" t="s">
        <v>2174</v>
      </c>
      <c r="C1042" t="s">
        <v>2175</v>
      </c>
      <c r="D1042">
        <v>17085</v>
      </c>
      <c r="E1042">
        <v>17085</v>
      </c>
      <c r="F1042">
        <v>17085</v>
      </c>
      <c r="G1042" t="str">
        <f t="shared" si="144"/>
        <v>SilverChalice</v>
      </c>
      <c r="H1042" t="str">
        <f t="shared" si="145"/>
        <v>ACACAC</v>
      </c>
      <c r="I1042" t="str">
        <f t="shared" si="146"/>
        <v>AC</v>
      </c>
      <c r="J1042" t="str">
        <f t="shared" si="147"/>
        <v>AC</v>
      </c>
      <c r="K1042" t="str">
        <f t="shared" si="148"/>
        <v>AC</v>
      </c>
      <c r="L1042">
        <f t="shared" si="149"/>
        <v>172</v>
      </c>
      <c r="M1042">
        <f t="shared" si="150"/>
        <v>172</v>
      </c>
      <c r="N1042">
        <f t="shared" si="151"/>
        <v>172</v>
      </c>
      <c r="P1042" t="str">
        <f t="shared" si="152"/>
        <v>.SilverChalice-bg{background-color:#ACACAC;}</v>
      </c>
    </row>
    <row r="1043" spans="2:16" ht="15.75">
      <c r="B1043" s="1" t="s">
        <v>2176</v>
      </c>
      <c r="C1043" t="s">
        <v>2177</v>
      </c>
      <c r="D1043">
        <v>9180</v>
      </c>
      <c r="E1043">
        <v>13770</v>
      </c>
      <c r="F1043">
        <v>9180</v>
      </c>
      <c r="G1043" t="str">
        <f t="shared" si="144"/>
        <v>SilverLakeBlue</v>
      </c>
      <c r="H1043" t="str">
        <f t="shared" si="145"/>
        <v>5D89BA</v>
      </c>
      <c r="I1043" t="str">
        <f t="shared" si="146"/>
        <v>5D</v>
      </c>
      <c r="J1043" t="str">
        <f t="shared" si="147"/>
        <v>89</v>
      </c>
      <c r="K1043" t="str">
        <f t="shared" si="148"/>
        <v>BA</v>
      </c>
      <c r="L1043">
        <f t="shared" si="149"/>
        <v>93</v>
      </c>
      <c r="M1043">
        <f t="shared" si="150"/>
        <v>137</v>
      </c>
      <c r="N1043">
        <f t="shared" si="151"/>
        <v>186</v>
      </c>
      <c r="P1043" t="str">
        <f t="shared" si="152"/>
        <v>.SilverLakeBlue-bg{background-color:#5D89BA;}</v>
      </c>
    </row>
    <row r="1044" spans="2:16" ht="15.75">
      <c r="B1044" s="1" t="s">
        <v>2178</v>
      </c>
      <c r="C1044" t="s">
        <v>2179</v>
      </c>
      <c r="D1044">
        <v>19635</v>
      </c>
      <c r="E1044">
        <v>17340</v>
      </c>
      <c r="F1044">
        <v>19635</v>
      </c>
      <c r="G1044" t="str">
        <f t="shared" si="144"/>
        <v>SilverPink</v>
      </c>
      <c r="H1044" t="str">
        <f t="shared" si="145"/>
        <v>C4AEAD</v>
      </c>
      <c r="I1044" t="str">
        <f t="shared" si="146"/>
        <v>C4</v>
      </c>
      <c r="J1044" t="str">
        <f t="shared" si="147"/>
        <v>AE</v>
      </c>
      <c r="K1044" t="str">
        <f t="shared" si="148"/>
        <v>AD</v>
      </c>
      <c r="L1044">
        <f t="shared" si="149"/>
        <v>196</v>
      </c>
      <c r="M1044">
        <f t="shared" si="150"/>
        <v>174</v>
      </c>
      <c r="N1044">
        <f t="shared" si="151"/>
        <v>173</v>
      </c>
      <c r="P1044" t="str">
        <f t="shared" si="152"/>
        <v>.SilverPink-bg{background-color:#C4AEAD;}</v>
      </c>
    </row>
    <row r="1045" spans="2:16" ht="15.75">
      <c r="B1045" s="1" t="s">
        <v>2180</v>
      </c>
      <c r="C1045" t="s">
        <v>2181</v>
      </c>
      <c r="D1045">
        <v>19125</v>
      </c>
      <c r="E1045">
        <v>19380</v>
      </c>
      <c r="F1045">
        <v>19125</v>
      </c>
      <c r="G1045" t="str">
        <f t="shared" si="144"/>
        <v>SilverSand</v>
      </c>
      <c r="H1045" t="str">
        <f t="shared" si="145"/>
        <v>BFC1C2</v>
      </c>
      <c r="I1045" t="str">
        <f t="shared" si="146"/>
        <v>BF</v>
      </c>
      <c r="J1045" t="str">
        <f t="shared" si="147"/>
        <v>C1</v>
      </c>
      <c r="K1045" t="str">
        <f t="shared" si="148"/>
        <v>C2</v>
      </c>
      <c r="L1045">
        <f t="shared" si="149"/>
        <v>191</v>
      </c>
      <c r="M1045">
        <f t="shared" si="150"/>
        <v>193</v>
      </c>
      <c r="N1045">
        <f t="shared" si="151"/>
        <v>194</v>
      </c>
      <c r="P1045" t="str">
        <f t="shared" si="152"/>
        <v>.SilverSand-bg{background-color:#BFC1C2;}</v>
      </c>
    </row>
    <row r="1046" spans="2:16" ht="15.75">
      <c r="B1046" s="1" t="s">
        <v>2182</v>
      </c>
      <c r="C1046" t="s">
        <v>2183</v>
      </c>
      <c r="D1046">
        <v>20400</v>
      </c>
      <c r="E1046">
        <v>6375</v>
      </c>
      <c r="F1046">
        <v>20400</v>
      </c>
      <c r="G1046" t="str">
        <f t="shared" si="144"/>
        <v>Sinopia</v>
      </c>
      <c r="H1046" t="str">
        <f t="shared" si="145"/>
        <v>CB410B</v>
      </c>
      <c r="I1046" t="str">
        <f t="shared" si="146"/>
        <v>CB</v>
      </c>
      <c r="J1046" t="str">
        <f t="shared" si="147"/>
        <v>41</v>
      </c>
      <c r="K1046" t="str">
        <f t="shared" si="148"/>
        <v>0B</v>
      </c>
      <c r="L1046">
        <f t="shared" si="149"/>
        <v>203</v>
      </c>
      <c r="M1046">
        <f t="shared" si="150"/>
        <v>65</v>
      </c>
      <c r="N1046">
        <f t="shared" si="151"/>
        <v>11</v>
      </c>
      <c r="P1046" t="str">
        <f t="shared" si="152"/>
        <v>.Sinopia-bg{background-color:#CB410B;}</v>
      </c>
    </row>
    <row r="1047" spans="2:16" ht="15.75">
      <c r="B1047" s="1" t="s">
        <v>2184</v>
      </c>
      <c r="C1047" t="s">
        <v>2185</v>
      </c>
      <c r="D1047">
        <v>25500</v>
      </c>
      <c r="E1047">
        <v>5610</v>
      </c>
      <c r="F1047">
        <v>25500</v>
      </c>
      <c r="G1047" t="str">
        <f t="shared" si="144"/>
        <v>SizzlingRed</v>
      </c>
      <c r="H1047" t="str">
        <f t="shared" si="145"/>
        <v>FF3855</v>
      </c>
      <c r="I1047" t="str">
        <f t="shared" si="146"/>
        <v>FF</v>
      </c>
      <c r="J1047" t="str">
        <f t="shared" si="147"/>
        <v>38</v>
      </c>
      <c r="K1047" t="str">
        <f t="shared" si="148"/>
        <v>55</v>
      </c>
      <c r="L1047">
        <f t="shared" si="149"/>
        <v>255</v>
      </c>
      <c r="M1047">
        <f t="shared" si="150"/>
        <v>56</v>
      </c>
      <c r="N1047">
        <f t="shared" si="151"/>
        <v>85</v>
      </c>
      <c r="P1047" t="str">
        <f t="shared" si="152"/>
        <v>.SizzlingRed-bg{background-color:#FF3855;}</v>
      </c>
    </row>
    <row r="1048" spans="2:16" ht="15.75">
      <c r="B1048" s="1" t="s">
        <v>2186</v>
      </c>
      <c r="C1048" t="s">
        <v>2187</v>
      </c>
      <c r="D1048">
        <v>25500</v>
      </c>
      <c r="E1048">
        <v>21930</v>
      </c>
      <c r="F1048">
        <v>25500</v>
      </c>
      <c r="G1048" t="str">
        <f t="shared" si="144"/>
        <v>SizzlingSunrise</v>
      </c>
      <c r="H1048" t="str">
        <f t="shared" si="145"/>
        <v>FFDB00</v>
      </c>
      <c r="I1048" t="str">
        <f t="shared" si="146"/>
        <v>FF</v>
      </c>
      <c r="J1048" t="str">
        <f t="shared" si="147"/>
        <v>DB</v>
      </c>
      <c r="K1048" t="str">
        <f t="shared" si="148"/>
        <v>00</v>
      </c>
      <c r="L1048">
        <f t="shared" si="149"/>
        <v>255</v>
      </c>
      <c r="M1048">
        <f t="shared" si="150"/>
        <v>219</v>
      </c>
      <c r="N1048">
        <f t="shared" si="151"/>
        <v>0</v>
      </c>
      <c r="P1048" t="str">
        <f t="shared" si="152"/>
        <v>.SizzlingSunrise-bg{background-color:#FFDB00;}</v>
      </c>
    </row>
    <row r="1049" spans="2:16" ht="15.75">
      <c r="B1049" s="1" t="s">
        <v>2188</v>
      </c>
      <c r="C1049" t="s">
        <v>2189</v>
      </c>
      <c r="D1049">
        <v>0</v>
      </c>
      <c r="E1049">
        <v>11475</v>
      </c>
      <c r="F1049">
        <v>0</v>
      </c>
      <c r="G1049" t="str">
        <f t="shared" si="144"/>
        <v>Skobeloff</v>
      </c>
      <c r="H1049" t="str">
        <f t="shared" si="145"/>
        <v>007474</v>
      </c>
      <c r="I1049" t="str">
        <f t="shared" si="146"/>
        <v>00</v>
      </c>
      <c r="J1049" t="str">
        <f t="shared" si="147"/>
        <v>74</v>
      </c>
      <c r="K1049" t="str">
        <f t="shared" si="148"/>
        <v>74</v>
      </c>
      <c r="L1049">
        <f t="shared" si="149"/>
        <v>0</v>
      </c>
      <c r="M1049">
        <f t="shared" si="150"/>
        <v>116</v>
      </c>
      <c r="N1049">
        <f t="shared" si="151"/>
        <v>116</v>
      </c>
      <c r="P1049" t="str">
        <f t="shared" si="152"/>
        <v>.Skobeloff-bg{background-color:#007474;}</v>
      </c>
    </row>
    <row r="1050" spans="2:16" ht="15.75">
      <c r="B1050" s="1" t="s">
        <v>2190</v>
      </c>
      <c r="C1050" t="s">
        <v>2191</v>
      </c>
      <c r="D1050">
        <v>13515</v>
      </c>
      <c r="E1050">
        <v>20655</v>
      </c>
      <c r="F1050">
        <v>13515</v>
      </c>
      <c r="G1050" t="str">
        <f t="shared" si="144"/>
        <v>SkyBlue</v>
      </c>
      <c r="H1050" t="str">
        <f t="shared" si="145"/>
        <v>87CEEB</v>
      </c>
      <c r="I1050" t="str">
        <f t="shared" si="146"/>
        <v>87</v>
      </c>
      <c r="J1050" t="str">
        <f t="shared" si="147"/>
        <v>CE</v>
      </c>
      <c r="K1050" t="str">
        <f t="shared" si="148"/>
        <v>EB</v>
      </c>
      <c r="L1050">
        <f t="shared" si="149"/>
        <v>135</v>
      </c>
      <c r="M1050">
        <f t="shared" si="150"/>
        <v>206</v>
      </c>
      <c r="N1050">
        <f t="shared" si="151"/>
        <v>235</v>
      </c>
      <c r="P1050" t="str">
        <f t="shared" si="152"/>
        <v>.SkyBlue-bg{background-color:#87CEEB;}</v>
      </c>
    </row>
    <row r="1051" spans="2:16" ht="15.75">
      <c r="B1051" s="1" t="s">
        <v>2192</v>
      </c>
      <c r="C1051" t="s">
        <v>2193</v>
      </c>
      <c r="D1051">
        <v>20655</v>
      </c>
      <c r="E1051">
        <v>11220</v>
      </c>
      <c r="F1051">
        <v>20655</v>
      </c>
      <c r="G1051" t="str">
        <f t="shared" si="144"/>
        <v>SkyMagenta</v>
      </c>
      <c r="H1051" t="str">
        <f t="shared" si="145"/>
        <v>CF71AF</v>
      </c>
      <c r="I1051" t="str">
        <f t="shared" si="146"/>
        <v>CF</v>
      </c>
      <c r="J1051" t="str">
        <f t="shared" si="147"/>
        <v>71</v>
      </c>
      <c r="K1051" t="str">
        <f t="shared" si="148"/>
        <v>AF</v>
      </c>
      <c r="L1051">
        <f t="shared" si="149"/>
        <v>207</v>
      </c>
      <c r="M1051">
        <f t="shared" si="150"/>
        <v>113</v>
      </c>
      <c r="N1051">
        <f t="shared" si="151"/>
        <v>175</v>
      </c>
      <c r="P1051" t="str">
        <f t="shared" si="152"/>
        <v>.SkyMagenta-bg{background-color:#CF71AF;}</v>
      </c>
    </row>
    <row r="1052" spans="2:16" ht="15.75">
      <c r="B1052" s="1" t="s">
        <v>2194</v>
      </c>
      <c r="C1052" t="s">
        <v>2195</v>
      </c>
      <c r="D1052">
        <v>10710</v>
      </c>
      <c r="E1052">
        <v>8925</v>
      </c>
      <c r="F1052">
        <v>10710</v>
      </c>
      <c r="G1052" t="str">
        <f t="shared" si="144"/>
        <v>SlateBlue</v>
      </c>
      <c r="H1052" t="str">
        <f t="shared" si="145"/>
        <v>6A5ACD</v>
      </c>
      <c r="I1052" t="str">
        <f t="shared" si="146"/>
        <v>6A</v>
      </c>
      <c r="J1052" t="str">
        <f t="shared" si="147"/>
        <v>5A</v>
      </c>
      <c r="K1052" t="str">
        <f t="shared" si="148"/>
        <v>CD</v>
      </c>
      <c r="L1052">
        <f t="shared" si="149"/>
        <v>106</v>
      </c>
      <c r="M1052">
        <f t="shared" si="150"/>
        <v>90</v>
      </c>
      <c r="N1052">
        <f t="shared" si="151"/>
        <v>205</v>
      </c>
      <c r="P1052" t="str">
        <f t="shared" si="152"/>
        <v>.SlateBlue-bg{background-color:#6A5ACD;}</v>
      </c>
    </row>
    <row r="1053" spans="2:16" ht="15.75">
      <c r="B1053" s="1" t="s">
        <v>2196</v>
      </c>
      <c r="C1053" t="s">
        <v>2197</v>
      </c>
      <c r="D1053">
        <v>11220</v>
      </c>
      <c r="E1053">
        <v>12750</v>
      </c>
      <c r="F1053">
        <v>11220</v>
      </c>
      <c r="G1053" t="str">
        <f t="shared" si="144"/>
        <v>SlateGray</v>
      </c>
      <c r="H1053" t="str">
        <f t="shared" si="145"/>
        <v>708090</v>
      </c>
      <c r="I1053" t="str">
        <f t="shared" si="146"/>
        <v>70</v>
      </c>
      <c r="J1053" t="str">
        <f t="shared" si="147"/>
        <v>80</v>
      </c>
      <c r="K1053" t="str">
        <f t="shared" si="148"/>
        <v>90</v>
      </c>
      <c r="L1053">
        <f t="shared" si="149"/>
        <v>112</v>
      </c>
      <c r="M1053">
        <f t="shared" si="150"/>
        <v>128</v>
      </c>
      <c r="N1053">
        <f t="shared" si="151"/>
        <v>144</v>
      </c>
      <c r="P1053" t="str">
        <f t="shared" si="152"/>
        <v>.SlateGray-bg{background-color:#708090;}</v>
      </c>
    </row>
    <row r="1054" spans="2:16" ht="15.75">
      <c r="B1054" s="1" t="s">
        <v>2198</v>
      </c>
      <c r="C1054" t="s">
        <v>802</v>
      </c>
      <c r="D1054">
        <v>0</v>
      </c>
      <c r="E1054">
        <v>5100</v>
      </c>
      <c r="F1054">
        <v>0</v>
      </c>
      <c r="G1054" t="str">
        <f t="shared" si="144"/>
        <v>SmaltDarkPowderBlue</v>
      </c>
      <c r="H1054" t="str">
        <f t="shared" si="145"/>
        <v>003399</v>
      </c>
      <c r="I1054" t="str">
        <f t="shared" si="146"/>
        <v>00</v>
      </c>
      <c r="J1054" t="str">
        <f t="shared" si="147"/>
        <v>33</v>
      </c>
      <c r="K1054" t="str">
        <f t="shared" si="148"/>
        <v>99</v>
      </c>
      <c r="L1054">
        <f t="shared" si="149"/>
        <v>0</v>
      </c>
      <c r="M1054">
        <f t="shared" si="150"/>
        <v>51</v>
      </c>
      <c r="N1054">
        <f t="shared" si="151"/>
        <v>153</v>
      </c>
      <c r="P1054" t="str">
        <f t="shared" si="152"/>
        <v>.SmaltDarkPowderBlue-bg{background-color:#003399;}</v>
      </c>
    </row>
    <row r="1055" spans="2:16" ht="15.75">
      <c r="B1055" s="1" t="s">
        <v>2199</v>
      </c>
      <c r="C1055" t="s">
        <v>2200</v>
      </c>
      <c r="D1055">
        <v>4080</v>
      </c>
      <c r="E1055">
        <v>15045</v>
      </c>
      <c r="F1055">
        <v>4080</v>
      </c>
      <c r="G1055" t="str">
        <f t="shared" si="144"/>
        <v>SlimyGreen</v>
      </c>
      <c r="H1055" t="str">
        <f t="shared" si="145"/>
        <v>299617</v>
      </c>
      <c r="I1055" t="str">
        <f t="shared" si="146"/>
        <v>29</v>
      </c>
      <c r="J1055" t="str">
        <f t="shared" si="147"/>
        <v>96</v>
      </c>
      <c r="K1055" t="str">
        <f t="shared" si="148"/>
        <v>17</v>
      </c>
      <c r="L1055">
        <f t="shared" si="149"/>
        <v>41</v>
      </c>
      <c r="M1055">
        <f t="shared" si="150"/>
        <v>150</v>
      </c>
      <c r="N1055">
        <f t="shared" si="151"/>
        <v>23</v>
      </c>
      <c r="P1055" t="str">
        <f t="shared" si="152"/>
        <v>.SlimyGreen-bg{background-color:#299617;}</v>
      </c>
    </row>
    <row r="1056" spans="2:16" ht="15.75">
      <c r="B1056" s="1" t="s">
        <v>2201</v>
      </c>
      <c r="C1056" t="s">
        <v>2202</v>
      </c>
      <c r="D1056">
        <v>25500</v>
      </c>
      <c r="E1056">
        <v>10965</v>
      </c>
      <c r="F1056">
        <v>25500</v>
      </c>
      <c r="G1056" t="str">
        <f t="shared" si="144"/>
        <v>SmashedPumpkin</v>
      </c>
      <c r="H1056" t="str">
        <f t="shared" si="145"/>
        <v>FF6D3A</v>
      </c>
      <c r="I1056" t="str">
        <f t="shared" si="146"/>
        <v>FF</v>
      </c>
      <c r="J1056" t="str">
        <f t="shared" si="147"/>
        <v>6D</v>
      </c>
      <c r="K1056" t="str">
        <f t="shared" si="148"/>
        <v>3A</v>
      </c>
      <c r="L1056">
        <f t="shared" si="149"/>
        <v>255</v>
      </c>
      <c r="M1056">
        <f t="shared" si="150"/>
        <v>109</v>
      </c>
      <c r="N1056">
        <f t="shared" si="151"/>
        <v>58</v>
      </c>
      <c r="P1056" t="str">
        <f t="shared" si="152"/>
        <v>.SmashedPumpkin-bg{background-color:#FF6D3A;}</v>
      </c>
    </row>
    <row r="1057" spans="2:16" ht="15.75">
      <c r="B1057" s="1" t="s">
        <v>2203</v>
      </c>
      <c r="C1057" t="s">
        <v>2204</v>
      </c>
      <c r="D1057">
        <v>19890</v>
      </c>
      <c r="E1057">
        <v>6375</v>
      </c>
      <c r="F1057">
        <v>19890</v>
      </c>
      <c r="G1057" t="str">
        <f t="shared" si="144"/>
        <v>Smitten</v>
      </c>
      <c r="H1057" t="str">
        <f t="shared" si="145"/>
        <v>C84186</v>
      </c>
      <c r="I1057" t="str">
        <f t="shared" si="146"/>
        <v>C8</v>
      </c>
      <c r="J1057" t="str">
        <f t="shared" si="147"/>
        <v>41</v>
      </c>
      <c r="K1057" t="str">
        <f t="shared" si="148"/>
        <v>86</v>
      </c>
      <c r="L1057">
        <f t="shared" si="149"/>
        <v>200</v>
      </c>
      <c r="M1057">
        <f t="shared" si="150"/>
        <v>65</v>
      </c>
      <c r="N1057">
        <f t="shared" si="151"/>
        <v>134</v>
      </c>
      <c r="P1057" t="str">
        <f t="shared" si="152"/>
        <v>.Smitten-bg{background-color:#C84186;}</v>
      </c>
    </row>
    <row r="1058" spans="2:16" ht="15.75">
      <c r="B1058" s="1" t="s">
        <v>2205</v>
      </c>
      <c r="C1058" t="s">
        <v>2206</v>
      </c>
      <c r="D1058">
        <v>11475</v>
      </c>
      <c r="E1058">
        <v>13005</v>
      </c>
      <c r="F1058">
        <v>11475</v>
      </c>
      <c r="G1058" t="str">
        <f t="shared" si="144"/>
        <v>Smoke</v>
      </c>
      <c r="H1058" t="str">
        <f t="shared" si="145"/>
        <v>738276</v>
      </c>
      <c r="I1058" t="str">
        <f t="shared" si="146"/>
        <v>73</v>
      </c>
      <c r="J1058" t="str">
        <f t="shared" si="147"/>
        <v>82</v>
      </c>
      <c r="K1058" t="str">
        <f t="shared" si="148"/>
        <v>76</v>
      </c>
      <c r="L1058">
        <f t="shared" si="149"/>
        <v>115</v>
      </c>
      <c r="M1058">
        <f t="shared" si="150"/>
        <v>130</v>
      </c>
      <c r="N1058">
        <f t="shared" si="151"/>
        <v>118</v>
      </c>
      <c r="P1058" t="str">
        <f t="shared" si="152"/>
        <v>.Smoke-bg{background-color:#738276;}</v>
      </c>
    </row>
    <row r="1059" spans="2:16" ht="15.75">
      <c r="B1059" s="1" t="s">
        <v>2207</v>
      </c>
      <c r="C1059" t="s">
        <v>2208</v>
      </c>
      <c r="D1059">
        <v>13005</v>
      </c>
      <c r="E1059">
        <v>4080</v>
      </c>
      <c r="F1059">
        <v>13005</v>
      </c>
      <c r="G1059" t="str">
        <f t="shared" si="144"/>
        <v>SmokeyTopaz</v>
      </c>
      <c r="H1059" t="str">
        <f t="shared" si="145"/>
        <v>832A0D</v>
      </c>
      <c r="I1059" t="str">
        <f t="shared" si="146"/>
        <v>83</v>
      </c>
      <c r="J1059" t="str">
        <f t="shared" si="147"/>
        <v>2A</v>
      </c>
      <c r="K1059" t="str">
        <f t="shared" si="148"/>
        <v>0D</v>
      </c>
      <c r="L1059">
        <f t="shared" si="149"/>
        <v>131</v>
      </c>
      <c r="M1059">
        <f t="shared" si="150"/>
        <v>42</v>
      </c>
      <c r="N1059">
        <f t="shared" si="151"/>
        <v>13</v>
      </c>
      <c r="P1059" t="str">
        <f t="shared" si="152"/>
        <v>.SmokeyTopaz-bg{background-color:#832A0D;}</v>
      </c>
    </row>
    <row r="1060" spans="2:16" ht="15.75">
      <c r="B1060" s="1" t="s">
        <v>2209</v>
      </c>
      <c r="C1060" t="s">
        <v>2210</v>
      </c>
      <c r="D1060">
        <v>1530</v>
      </c>
      <c r="E1060">
        <v>1275</v>
      </c>
      <c r="F1060">
        <v>1530</v>
      </c>
      <c r="G1060" t="str">
        <f t="shared" si="144"/>
        <v>SmokyBlack</v>
      </c>
      <c r="H1060" t="str">
        <f t="shared" si="145"/>
        <v>100C08</v>
      </c>
      <c r="I1060" t="str">
        <f t="shared" si="146"/>
        <v>10</v>
      </c>
      <c r="J1060" t="str">
        <f t="shared" si="147"/>
        <v>0C</v>
      </c>
      <c r="K1060" t="str">
        <f t="shared" si="148"/>
        <v>08</v>
      </c>
      <c r="L1060">
        <f t="shared" si="149"/>
        <v>16</v>
      </c>
      <c r="M1060">
        <f t="shared" si="150"/>
        <v>12</v>
      </c>
      <c r="N1060">
        <f t="shared" si="151"/>
        <v>8</v>
      </c>
      <c r="P1060" t="str">
        <f t="shared" si="152"/>
        <v>.SmokyBlack-bg{background-color:#100C08;}</v>
      </c>
    </row>
    <row r="1061" spans="2:16" ht="15.75">
      <c r="B1061" s="1" t="s">
        <v>2211</v>
      </c>
      <c r="C1061" t="s">
        <v>2212</v>
      </c>
      <c r="D1061">
        <v>14790</v>
      </c>
      <c r="E1061">
        <v>6120</v>
      </c>
      <c r="F1061">
        <v>14790</v>
      </c>
      <c r="G1061" t="str">
        <f t="shared" si="144"/>
        <v>SmokyTopaz</v>
      </c>
      <c r="H1061" t="str">
        <f t="shared" si="145"/>
        <v>933D41</v>
      </c>
      <c r="I1061" t="str">
        <f t="shared" si="146"/>
        <v>93</v>
      </c>
      <c r="J1061" t="str">
        <f t="shared" si="147"/>
        <v>3D</v>
      </c>
      <c r="K1061" t="str">
        <f t="shared" si="148"/>
        <v>41</v>
      </c>
      <c r="L1061">
        <f t="shared" si="149"/>
        <v>147</v>
      </c>
      <c r="M1061">
        <f t="shared" si="150"/>
        <v>61</v>
      </c>
      <c r="N1061">
        <f t="shared" si="151"/>
        <v>65</v>
      </c>
      <c r="P1061" t="str">
        <f t="shared" si="152"/>
        <v>.SmokyTopaz-bg{background-color:#933D41;}</v>
      </c>
    </row>
    <row r="1062" spans="2:16" ht="15.75">
      <c r="B1062" s="1" t="s">
        <v>2213</v>
      </c>
      <c r="C1062" t="s">
        <v>2214</v>
      </c>
      <c r="D1062">
        <v>25500</v>
      </c>
      <c r="E1062">
        <v>24990</v>
      </c>
      <c r="F1062">
        <v>25500</v>
      </c>
      <c r="G1062" t="str">
        <f t="shared" si="144"/>
        <v>Snow</v>
      </c>
      <c r="H1062" t="str">
        <f t="shared" si="145"/>
        <v>FFFAFA</v>
      </c>
      <c r="I1062" t="str">
        <f t="shared" si="146"/>
        <v>FF</v>
      </c>
      <c r="J1062" t="str">
        <f t="shared" si="147"/>
        <v>FA</v>
      </c>
      <c r="K1062" t="str">
        <f t="shared" si="148"/>
        <v>FA</v>
      </c>
      <c r="L1062">
        <f t="shared" si="149"/>
        <v>255</v>
      </c>
      <c r="M1062">
        <f t="shared" si="150"/>
        <v>250</v>
      </c>
      <c r="N1062">
        <f t="shared" si="151"/>
        <v>250</v>
      </c>
      <c r="P1062" t="str">
        <f t="shared" si="152"/>
        <v>.Snow-bg{background-color:#FFFAFA;}</v>
      </c>
    </row>
    <row r="1063" spans="2:16" ht="15.75">
      <c r="B1063" s="1" t="s">
        <v>2215</v>
      </c>
      <c r="C1063" t="s">
        <v>2216</v>
      </c>
      <c r="D1063">
        <v>20655</v>
      </c>
      <c r="E1063">
        <v>19890</v>
      </c>
      <c r="F1063">
        <v>20655</v>
      </c>
      <c r="G1063" t="str">
        <f t="shared" si="144"/>
        <v>Soap</v>
      </c>
      <c r="H1063" t="str">
        <f t="shared" si="145"/>
        <v>CEC8EF</v>
      </c>
      <c r="I1063" t="str">
        <f t="shared" si="146"/>
        <v>CE</v>
      </c>
      <c r="J1063" t="str">
        <f t="shared" si="147"/>
        <v>C8</v>
      </c>
      <c r="K1063" t="str">
        <f t="shared" si="148"/>
        <v>EF</v>
      </c>
      <c r="L1063">
        <f t="shared" si="149"/>
        <v>206</v>
      </c>
      <c r="M1063">
        <f t="shared" si="150"/>
        <v>200</v>
      </c>
      <c r="N1063">
        <f t="shared" si="151"/>
        <v>239</v>
      </c>
      <c r="P1063" t="str">
        <f t="shared" si="152"/>
        <v>.Soap-bg{background-color:#CEC8EF;}</v>
      </c>
    </row>
    <row r="1064" spans="2:16" ht="15.75">
      <c r="B1064" s="1" t="s">
        <v>2217</v>
      </c>
      <c r="C1064" t="s">
        <v>2218</v>
      </c>
      <c r="D1064">
        <v>13770</v>
      </c>
      <c r="E1064">
        <v>5610</v>
      </c>
      <c r="F1064">
        <v>13770</v>
      </c>
      <c r="G1064" t="str">
        <f t="shared" si="144"/>
        <v>SolidPink</v>
      </c>
      <c r="H1064" t="str">
        <f t="shared" si="145"/>
        <v>893843</v>
      </c>
      <c r="I1064" t="str">
        <f t="shared" si="146"/>
        <v>89</v>
      </c>
      <c r="J1064" t="str">
        <f t="shared" si="147"/>
        <v>38</v>
      </c>
      <c r="K1064" t="str">
        <f t="shared" si="148"/>
        <v>43</v>
      </c>
      <c r="L1064">
        <f t="shared" si="149"/>
        <v>137</v>
      </c>
      <c r="M1064">
        <f t="shared" si="150"/>
        <v>56</v>
      </c>
      <c r="N1064">
        <f t="shared" si="151"/>
        <v>67</v>
      </c>
      <c r="P1064" t="str">
        <f t="shared" si="152"/>
        <v>.SolidPink-bg{background-color:#893843;}</v>
      </c>
    </row>
    <row r="1065" spans="2:16" ht="15.75">
      <c r="B1065" s="1" t="s">
        <v>2219</v>
      </c>
      <c r="C1065" t="s">
        <v>2220</v>
      </c>
      <c r="D1065">
        <v>11730</v>
      </c>
      <c r="E1065">
        <v>11730</v>
      </c>
      <c r="F1065">
        <v>11730</v>
      </c>
      <c r="G1065" t="str">
        <f t="shared" si="144"/>
        <v>SonicSilver</v>
      </c>
      <c r="H1065" t="str">
        <f t="shared" si="145"/>
        <v>757575</v>
      </c>
      <c r="I1065" t="str">
        <f t="shared" si="146"/>
        <v>75</v>
      </c>
      <c r="J1065" t="str">
        <f t="shared" si="147"/>
        <v>75</v>
      </c>
      <c r="K1065" t="str">
        <f t="shared" si="148"/>
        <v>75</v>
      </c>
      <c r="L1065">
        <f t="shared" si="149"/>
        <v>117</v>
      </c>
      <c r="M1065">
        <f t="shared" si="150"/>
        <v>117</v>
      </c>
      <c r="N1065">
        <f t="shared" si="151"/>
        <v>117</v>
      </c>
      <c r="P1065" t="str">
        <f t="shared" si="152"/>
        <v>.SonicSilver-bg{background-color:#757575;}</v>
      </c>
    </row>
    <row r="1066" spans="2:16" ht="15.75">
      <c r="B1066" s="1" t="s">
        <v>2221</v>
      </c>
      <c r="C1066" t="s">
        <v>2222</v>
      </c>
      <c r="D1066">
        <v>15810</v>
      </c>
      <c r="E1066">
        <v>1785</v>
      </c>
      <c r="F1066">
        <v>15810</v>
      </c>
      <c r="G1066" t="str">
        <f t="shared" si="144"/>
        <v>SpartanCrimson</v>
      </c>
      <c r="H1066" t="str">
        <f t="shared" si="145"/>
        <v>9E1316</v>
      </c>
      <c r="I1066" t="str">
        <f t="shared" si="146"/>
        <v>9E</v>
      </c>
      <c r="J1066" t="str">
        <f t="shared" si="147"/>
        <v>13</v>
      </c>
      <c r="K1066" t="str">
        <f t="shared" si="148"/>
        <v>16</v>
      </c>
      <c r="L1066">
        <f t="shared" si="149"/>
        <v>158</v>
      </c>
      <c r="M1066">
        <f t="shared" si="150"/>
        <v>19</v>
      </c>
      <c r="N1066">
        <f t="shared" si="151"/>
        <v>22</v>
      </c>
      <c r="P1066" t="str">
        <f t="shared" si="152"/>
        <v>.SpartanCrimson-bg{background-color:#9E1316;}</v>
      </c>
    </row>
    <row r="1067" spans="2:16" ht="15.75">
      <c r="B1067" s="1" t="s">
        <v>2223</v>
      </c>
      <c r="C1067" t="s">
        <v>2224</v>
      </c>
      <c r="D1067">
        <v>2805</v>
      </c>
      <c r="E1067">
        <v>4080</v>
      </c>
      <c r="F1067">
        <v>2805</v>
      </c>
      <c r="G1067" t="str">
        <f t="shared" si="144"/>
        <v>SpaceCadet</v>
      </c>
      <c r="H1067" t="str">
        <f t="shared" si="145"/>
        <v>1D2951</v>
      </c>
      <c r="I1067" t="str">
        <f t="shared" si="146"/>
        <v>1D</v>
      </c>
      <c r="J1067" t="str">
        <f t="shared" si="147"/>
        <v>29</v>
      </c>
      <c r="K1067" t="str">
        <f t="shared" si="148"/>
        <v>51</v>
      </c>
      <c r="L1067">
        <f t="shared" si="149"/>
        <v>29</v>
      </c>
      <c r="M1067">
        <f t="shared" si="150"/>
        <v>41</v>
      </c>
      <c r="N1067">
        <f t="shared" si="151"/>
        <v>81</v>
      </c>
      <c r="P1067" t="str">
        <f t="shared" si="152"/>
        <v>.SpaceCadet-bg{background-color:#1D2951;}</v>
      </c>
    </row>
    <row r="1068" spans="2:16" ht="15.75">
      <c r="B1068" s="1" t="s">
        <v>2225</v>
      </c>
      <c r="C1068" t="s">
        <v>2226</v>
      </c>
      <c r="D1068">
        <v>12750</v>
      </c>
      <c r="E1068">
        <v>11730</v>
      </c>
      <c r="F1068">
        <v>12750</v>
      </c>
      <c r="G1068" t="str">
        <f t="shared" si="144"/>
        <v>SpanishBistre</v>
      </c>
      <c r="H1068" t="str">
        <f t="shared" si="145"/>
        <v>807532</v>
      </c>
      <c r="I1068" t="str">
        <f t="shared" si="146"/>
        <v>80</v>
      </c>
      <c r="J1068" t="str">
        <f t="shared" si="147"/>
        <v>75</v>
      </c>
      <c r="K1068" t="str">
        <f t="shared" si="148"/>
        <v>32</v>
      </c>
      <c r="L1068">
        <f t="shared" si="149"/>
        <v>128</v>
      </c>
      <c r="M1068">
        <f t="shared" si="150"/>
        <v>117</v>
      </c>
      <c r="N1068">
        <f t="shared" si="151"/>
        <v>50</v>
      </c>
      <c r="P1068" t="str">
        <f t="shared" si="152"/>
        <v>.SpanishBistre-bg{background-color:#807532;}</v>
      </c>
    </row>
    <row r="1069" spans="2:16" ht="15.75">
      <c r="B1069" s="1" t="s">
        <v>2227</v>
      </c>
      <c r="C1069" t="s">
        <v>2228</v>
      </c>
      <c r="D1069">
        <v>0</v>
      </c>
      <c r="E1069">
        <v>11220</v>
      </c>
      <c r="F1069">
        <v>0</v>
      </c>
      <c r="G1069" t="str">
        <f t="shared" si="144"/>
        <v>SpanishBlue</v>
      </c>
      <c r="H1069" t="str">
        <f t="shared" si="145"/>
        <v>0070B8</v>
      </c>
      <c r="I1069" t="str">
        <f t="shared" si="146"/>
        <v>00</v>
      </c>
      <c r="J1069" t="str">
        <f t="shared" si="147"/>
        <v>70</v>
      </c>
      <c r="K1069" t="str">
        <f t="shared" si="148"/>
        <v>B8</v>
      </c>
      <c r="L1069">
        <f t="shared" si="149"/>
        <v>0</v>
      </c>
      <c r="M1069">
        <f t="shared" si="150"/>
        <v>112</v>
      </c>
      <c r="N1069">
        <f t="shared" si="151"/>
        <v>184</v>
      </c>
      <c r="P1069" t="str">
        <f t="shared" si="152"/>
        <v>.SpanishBlue-bg{background-color:#0070B8;}</v>
      </c>
    </row>
    <row r="1070" spans="2:16" ht="15.75">
      <c r="B1070" s="1" t="s">
        <v>2229</v>
      </c>
      <c r="C1070" t="s">
        <v>2230</v>
      </c>
      <c r="D1070">
        <v>20910</v>
      </c>
      <c r="E1070">
        <v>0</v>
      </c>
      <c r="F1070">
        <v>20910</v>
      </c>
      <c r="G1070" t="str">
        <f t="shared" si="144"/>
        <v>SpanishCarmine</v>
      </c>
      <c r="H1070" t="str">
        <f t="shared" si="145"/>
        <v>D10047</v>
      </c>
      <c r="I1070" t="str">
        <f t="shared" si="146"/>
        <v>D1</v>
      </c>
      <c r="J1070" t="str">
        <f t="shared" si="147"/>
        <v>00</v>
      </c>
      <c r="K1070" t="str">
        <f t="shared" si="148"/>
        <v>47</v>
      </c>
      <c r="L1070">
        <f t="shared" si="149"/>
        <v>209</v>
      </c>
      <c r="M1070">
        <f t="shared" si="150"/>
        <v>0</v>
      </c>
      <c r="N1070">
        <f t="shared" si="151"/>
        <v>71</v>
      </c>
      <c r="P1070" t="str">
        <f t="shared" si="152"/>
        <v>.SpanishCarmine-bg{background-color:#D10047;}</v>
      </c>
    </row>
    <row r="1071" spans="2:16" ht="15.75">
      <c r="B1071" s="1" t="s">
        <v>2231</v>
      </c>
      <c r="C1071" t="s">
        <v>2232</v>
      </c>
      <c r="D1071">
        <v>22950</v>
      </c>
      <c r="E1071">
        <v>2550</v>
      </c>
      <c r="F1071">
        <v>22950</v>
      </c>
      <c r="G1071" t="str">
        <f t="shared" si="144"/>
        <v>SpanishCrimson</v>
      </c>
      <c r="H1071" t="str">
        <f t="shared" si="145"/>
        <v>E51A4C</v>
      </c>
      <c r="I1071" t="str">
        <f t="shared" si="146"/>
        <v>E5</v>
      </c>
      <c r="J1071" t="str">
        <f t="shared" si="147"/>
        <v>1A</v>
      </c>
      <c r="K1071" t="str">
        <f t="shared" si="148"/>
        <v>4C</v>
      </c>
      <c r="L1071">
        <f t="shared" si="149"/>
        <v>229</v>
      </c>
      <c r="M1071">
        <f t="shared" si="150"/>
        <v>26</v>
      </c>
      <c r="N1071">
        <f t="shared" si="151"/>
        <v>76</v>
      </c>
      <c r="P1071" t="str">
        <f t="shared" si="152"/>
        <v>.SpanishCrimson-bg{background-color:#E51A4C;}</v>
      </c>
    </row>
    <row r="1072" spans="2:16" ht="15.75">
      <c r="B1072" s="1" t="s">
        <v>2233</v>
      </c>
      <c r="C1072" t="s">
        <v>2234</v>
      </c>
      <c r="D1072">
        <v>15300</v>
      </c>
      <c r="E1072">
        <v>15300</v>
      </c>
      <c r="F1072">
        <v>15300</v>
      </c>
      <c r="G1072" t="str">
        <f t="shared" si="144"/>
        <v>SpanishGray</v>
      </c>
      <c r="H1072" t="str">
        <f t="shared" si="145"/>
        <v>989898</v>
      </c>
      <c r="I1072" t="str">
        <f t="shared" si="146"/>
        <v>98</v>
      </c>
      <c r="J1072" t="str">
        <f t="shared" si="147"/>
        <v>98</v>
      </c>
      <c r="K1072" t="str">
        <f t="shared" si="148"/>
        <v>98</v>
      </c>
      <c r="L1072">
        <f t="shared" si="149"/>
        <v>152</v>
      </c>
      <c r="M1072">
        <f t="shared" si="150"/>
        <v>152</v>
      </c>
      <c r="N1072">
        <f t="shared" si="151"/>
        <v>152</v>
      </c>
      <c r="P1072" t="str">
        <f t="shared" si="152"/>
        <v>.SpanishGray-bg{background-color:#989898;}</v>
      </c>
    </row>
    <row r="1073" spans="2:16" ht="15.75">
      <c r="B1073" s="1" t="s">
        <v>2235</v>
      </c>
      <c r="C1073" t="s">
        <v>2236</v>
      </c>
      <c r="D1073">
        <v>0</v>
      </c>
      <c r="E1073">
        <v>14535</v>
      </c>
      <c r="F1073">
        <v>0</v>
      </c>
      <c r="G1073" t="str">
        <f t="shared" si="144"/>
        <v>SpanishGreen</v>
      </c>
      <c r="H1073" t="str">
        <f t="shared" si="145"/>
        <v>009150</v>
      </c>
      <c r="I1073" t="str">
        <f t="shared" si="146"/>
        <v>00</v>
      </c>
      <c r="J1073" t="str">
        <f t="shared" si="147"/>
        <v>91</v>
      </c>
      <c r="K1073" t="str">
        <f t="shared" si="148"/>
        <v>50</v>
      </c>
      <c r="L1073">
        <f t="shared" si="149"/>
        <v>0</v>
      </c>
      <c r="M1073">
        <f t="shared" si="150"/>
        <v>145</v>
      </c>
      <c r="N1073">
        <f t="shared" si="151"/>
        <v>80</v>
      </c>
      <c r="P1073" t="str">
        <f t="shared" si="152"/>
        <v>.SpanishGreen-bg{background-color:#009150;}</v>
      </c>
    </row>
    <row r="1074" spans="2:16" ht="15.75">
      <c r="B1074" s="1" t="s">
        <v>2237</v>
      </c>
      <c r="C1074" t="s">
        <v>2238</v>
      </c>
      <c r="D1074">
        <v>23205</v>
      </c>
      <c r="E1074">
        <v>9690</v>
      </c>
      <c r="F1074">
        <v>23205</v>
      </c>
      <c r="G1074" t="str">
        <f t="shared" si="144"/>
        <v>SpanishOrange</v>
      </c>
      <c r="H1074" t="str">
        <f t="shared" si="145"/>
        <v>E86100</v>
      </c>
      <c r="I1074" t="str">
        <f t="shared" si="146"/>
        <v>E8</v>
      </c>
      <c r="J1074" t="str">
        <f t="shared" si="147"/>
        <v>61</v>
      </c>
      <c r="K1074" t="str">
        <f t="shared" si="148"/>
        <v>00</v>
      </c>
      <c r="L1074">
        <f t="shared" si="149"/>
        <v>232</v>
      </c>
      <c r="M1074">
        <f t="shared" si="150"/>
        <v>97</v>
      </c>
      <c r="N1074">
        <f t="shared" si="151"/>
        <v>0</v>
      </c>
      <c r="P1074" t="str">
        <f t="shared" si="152"/>
        <v>.SpanishOrange-bg{background-color:#E86100;}</v>
      </c>
    </row>
    <row r="1075" spans="2:16" ht="15.75">
      <c r="B1075" s="1" t="s">
        <v>2239</v>
      </c>
      <c r="C1075" t="s">
        <v>2240</v>
      </c>
      <c r="D1075">
        <v>24735</v>
      </c>
      <c r="E1075">
        <v>19125</v>
      </c>
      <c r="F1075">
        <v>24735</v>
      </c>
      <c r="G1075" t="str">
        <f t="shared" si="144"/>
        <v>SpanishPink</v>
      </c>
      <c r="H1075" t="str">
        <f t="shared" si="145"/>
        <v>F7BFBE</v>
      </c>
      <c r="I1075" t="str">
        <f t="shared" si="146"/>
        <v>F7</v>
      </c>
      <c r="J1075" t="str">
        <f t="shared" si="147"/>
        <v>BF</v>
      </c>
      <c r="K1075" t="str">
        <f t="shared" si="148"/>
        <v>BE</v>
      </c>
      <c r="L1075">
        <f t="shared" si="149"/>
        <v>247</v>
      </c>
      <c r="M1075">
        <f t="shared" si="150"/>
        <v>191</v>
      </c>
      <c r="N1075">
        <f t="shared" si="151"/>
        <v>190</v>
      </c>
      <c r="P1075" t="str">
        <f t="shared" si="152"/>
        <v>.SpanishPink-bg{background-color:#F7BFBE;}</v>
      </c>
    </row>
    <row r="1076" spans="2:16" ht="15.75">
      <c r="B1076" s="1" t="s">
        <v>2241</v>
      </c>
      <c r="C1076" t="s">
        <v>2242</v>
      </c>
      <c r="D1076">
        <v>22950</v>
      </c>
      <c r="E1076">
        <v>0</v>
      </c>
      <c r="F1076">
        <v>22950</v>
      </c>
      <c r="G1076" t="str">
        <f t="shared" si="144"/>
        <v>SpanishRed</v>
      </c>
      <c r="H1076" t="str">
        <f t="shared" si="145"/>
        <v>E60026</v>
      </c>
      <c r="I1076" t="str">
        <f t="shared" si="146"/>
        <v>E6</v>
      </c>
      <c r="J1076" t="str">
        <f t="shared" si="147"/>
        <v>00</v>
      </c>
      <c r="K1076" t="str">
        <f t="shared" si="148"/>
        <v>26</v>
      </c>
      <c r="L1076">
        <f t="shared" si="149"/>
        <v>230</v>
      </c>
      <c r="M1076">
        <f t="shared" si="150"/>
        <v>0</v>
      </c>
      <c r="N1076">
        <f t="shared" si="151"/>
        <v>38</v>
      </c>
      <c r="P1076" t="str">
        <f t="shared" si="152"/>
        <v>.SpanishRed-bg{background-color:#E60026;}</v>
      </c>
    </row>
    <row r="1077" spans="2:16" ht="15.75">
      <c r="B1077" s="1" t="s">
        <v>2243</v>
      </c>
      <c r="C1077" t="s">
        <v>272</v>
      </c>
      <c r="D1077">
        <v>0</v>
      </c>
      <c r="E1077">
        <v>25500</v>
      </c>
      <c r="F1077">
        <v>0</v>
      </c>
      <c r="G1077" t="str">
        <f t="shared" si="144"/>
        <v>SpanishSkyBlue</v>
      </c>
      <c r="H1077" t="str">
        <f t="shared" si="145"/>
        <v>00FFFF</v>
      </c>
      <c r="I1077" t="str">
        <f t="shared" si="146"/>
        <v>00</v>
      </c>
      <c r="J1077" t="str">
        <f t="shared" si="147"/>
        <v>FF</v>
      </c>
      <c r="K1077" t="str">
        <f t="shared" si="148"/>
        <v>FF</v>
      </c>
      <c r="L1077">
        <f t="shared" si="149"/>
        <v>0</v>
      </c>
      <c r="M1077">
        <f t="shared" si="150"/>
        <v>255</v>
      </c>
      <c r="N1077">
        <f t="shared" si="151"/>
        <v>255</v>
      </c>
      <c r="P1077" t="str">
        <f t="shared" si="152"/>
        <v>.SpanishSkyBlue-bg{background-color:#00FFFF;}</v>
      </c>
    </row>
    <row r="1078" spans="2:16" ht="15.75">
      <c r="B1078" s="1" t="s">
        <v>2244</v>
      </c>
      <c r="C1078" t="s">
        <v>2245</v>
      </c>
      <c r="D1078">
        <v>7650</v>
      </c>
      <c r="E1078">
        <v>4080</v>
      </c>
      <c r="F1078">
        <v>7650</v>
      </c>
      <c r="G1078" t="str">
        <f t="shared" si="144"/>
        <v>SpanishViolet</v>
      </c>
      <c r="H1078" t="str">
        <f t="shared" si="145"/>
        <v>4C2882</v>
      </c>
      <c r="I1078" t="str">
        <f t="shared" si="146"/>
        <v>4C</v>
      </c>
      <c r="J1078" t="str">
        <f t="shared" si="147"/>
        <v>28</v>
      </c>
      <c r="K1078" t="str">
        <f t="shared" si="148"/>
        <v>82</v>
      </c>
      <c r="L1078">
        <f t="shared" si="149"/>
        <v>76</v>
      </c>
      <c r="M1078">
        <f t="shared" si="150"/>
        <v>40</v>
      </c>
      <c r="N1078">
        <f t="shared" si="151"/>
        <v>130</v>
      </c>
      <c r="P1078" t="str">
        <f t="shared" si="152"/>
        <v>.SpanishViolet-bg{background-color:#4C2882;}</v>
      </c>
    </row>
    <row r="1079" spans="2:16" ht="15.75">
      <c r="B1079" s="1" t="s">
        <v>2246</v>
      </c>
      <c r="C1079" t="s">
        <v>2247</v>
      </c>
      <c r="D1079">
        <v>0</v>
      </c>
      <c r="E1079">
        <v>12750</v>
      </c>
      <c r="F1079">
        <v>0</v>
      </c>
      <c r="G1079" t="str">
        <f t="shared" si="144"/>
        <v>SpanishViridian</v>
      </c>
      <c r="H1079" t="str">
        <f t="shared" si="145"/>
        <v>007F5C</v>
      </c>
      <c r="I1079" t="str">
        <f t="shared" si="146"/>
        <v>00</v>
      </c>
      <c r="J1079" t="str">
        <f t="shared" si="147"/>
        <v>7F</v>
      </c>
      <c r="K1079" t="str">
        <f t="shared" si="148"/>
        <v>5C</v>
      </c>
      <c r="L1079">
        <f t="shared" si="149"/>
        <v>0</v>
      </c>
      <c r="M1079">
        <f t="shared" si="150"/>
        <v>127</v>
      </c>
      <c r="N1079">
        <f t="shared" si="151"/>
        <v>92</v>
      </c>
      <c r="P1079" t="str">
        <f t="shared" si="152"/>
        <v>.SpanishViridian-bg{background-color:#007F5C;}</v>
      </c>
    </row>
    <row r="1080" spans="2:16" ht="15.75">
      <c r="B1080" s="1" t="s">
        <v>2248</v>
      </c>
      <c r="C1080" t="s">
        <v>2249</v>
      </c>
      <c r="D1080">
        <v>14025</v>
      </c>
      <c r="E1080">
        <v>9435</v>
      </c>
      <c r="F1080">
        <v>14025</v>
      </c>
      <c r="G1080" t="str">
        <f t="shared" si="144"/>
        <v>SpicyMix</v>
      </c>
      <c r="H1080" t="str">
        <f t="shared" si="145"/>
        <v>8B5f4D</v>
      </c>
      <c r="I1080" t="str">
        <f t="shared" si="146"/>
        <v>8B</v>
      </c>
      <c r="J1080" t="str">
        <f t="shared" si="147"/>
        <v>5f</v>
      </c>
      <c r="K1080" t="str">
        <f t="shared" si="148"/>
        <v>4D</v>
      </c>
      <c r="L1080">
        <f t="shared" si="149"/>
        <v>139</v>
      </c>
      <c r="M1080">
        <f t="shared" si="150"/>
        <v>95</v>
      </c>
      <c r="N1080">
        <f t="shared" si="151"/>
        <v>77</v>
      </c>
      <c r="P1080" t="str">
        <f t="shared" si="152"/>
        <v>.SpicyMix-bg{background-color:#8B5f4D;}</v>
      </c>
    </row>
    <row r="1081" spans="2:16" ht="15.75">
      <c r="B1081" s="1" t="s">
        <v>2250</v>
      </c>
      <c r="C1081" t="s">
        <v>2251</v>
      </c>
      <c r="D1081">
        <v>1530</v>
      </c>
      <c r="E1081">
        <v>19125</v>
      </c>
      <c r="F1081">
        <v>1530</v>
      </c>
      <c r="G1081" t="str">
        <f t="shared" si="144"/>
        <v>SpiroDiscoBall</v>
      </c>
      <c r="H1081" t="str">
        <f t="shared" si="145"/>
        <v>0FC0FC</v>
      </c>
      <c r="I1081" t="str">
        <f t="shared" si="146"/>
        <v>0F</v>
      </c>
      <c r="J1081" t="str">
        <f t="shared" si="147"/>
        <v>C0</v>
      </c>
      <c r="K1081" t="str">
        <f t="shared" si="148"/>
        <v>FC</v>
      </c>
      <c r="L1081">
        <f t="shared" si="149"/>
        <v>15</v>
      </c>
      <c r="M1081">
        <f t="shared" si="150"/>
        <v>192</v>
      </c>
      <c r="N1081">
        <f t="shared" si="151"/>
        <v>252</v>
      </c>
      <c r="P1081" t="str">
        <f t="shared" si="152"/>
        <v>.SpiroDiscoBall-bg{background-color:#0FC0FC;}</v>
      </c>
    </row>
    <row r="1082" spans="2:16" ht="15.75">
      <c r="B1082" s="1" t="s">
        <v>2252</v>
      </c>
      <c r="C1082" t="s">
        <v>2253</v>
      </c>
      <c r="D1082">
        <v>16575</v>
      </c>
      <c r="E1082">
        <v>25245</v>
      </c>
      <c r="F1082">
        <v>16575</v>
      </c>
      <c r="G1082" t="str">
        <f t="shared" si="144"/>
        <v>SpringBud</v>
      </c>
      <c r="H1082" t="str">
        <f t="shared" si="145"/>
        <v>A7FC00</v>
      </c>
      <c r="I1082" t="str">
        <f t="shared" si="146"/>
        <v>A7</v>
      </c>
      <c r="J1082" t="str">
        <f t="shared" si="147"/>
        <v>FC</v>
      </c>
      <c r="K1082" t="str">
        <f t="shared" si="148"/>
        <v>00</v>
      </c>
      <c r="L1082">
        <f t="shared" si="149"/>
        <v>167</v>
      </c>
      <c r="M1082">
        <f t="shared" si="150"/>
        <v>252</v>
      </c>
      <c r="N1082">
        <f t="shared" si="151"/>
        <v>0</v>
      </c>
      <c r="P1082" t="str">
        <f t="shared" si="152"/>
        <v>.SpringBud-bg{background-color:#A7FC00;}</v>
      </c>
    </row>
    <row r="1083" spans="2:16" ht="15.75">
      <c r="B1083" s="1" t="s">
        <v>2254</v>
      </c>
      <c r="C1083" t="s">
        <v>2255</v>
      </c>
      <c r="D1083">
        <v>13515</v>
      </c>
      <c r="E1083">
        <v>25500</v>
      </c>
      <c r="F1083">
        <v>13515</v>
      </c>
      <c r="G1083" t="str">
        <f t="shared" si="144"/>
        <v>SpringFrost</v>
      </c>
      <c r="H1083" t="str">
        <f t="shared" si="145"/>
        <v>87FF2A</v>
      </c>
      <c r="I1083" t="str">
        <f t="shared" si="146"/>
        <v>87</v>
      </c>
      <c r="J1083" t="str">
        <f t="shared" si="147"/>
        <v>FF</v>
      </c>
      <c r="K1083" t="str">
        <f t="shared" si="148"/>
        <v>2A</v>
      </c>
      <c r="L1083">
        <f t="shared" si="149"/>
        <v>135</v>
      </c>
      <c r="M1083">
        <f t="shared" si="150"/>
        <v>255</v>
      </c>
      <c r="N1083">
        <f t="shared" si="151"/>
        <v>42</v>
      </c>
      <c r="P1083" t="str">
        <f t="shared" si="152"/>
        <v>.SpringFrost-bg{background-color:#87FF2A;}</v>
      </c>
    </row>
    <row r="1084" spans="2:16" ht="15.75">
      <c r="B1084" s="1" t="s">
        <v>2256</v>
      </c>
      <c r="C1084" t="s">
        <v>1172</v>
      </c>
      <c r="D1084">
        <v>0</v>
      </c>
      <c r="E1084">
        <v>25500</v>
      </c>
      <c r="F1084">
        <v>0</v>
      </c>
      <c r="G1084" t="str">
        <f t="shared" si="144"/>
        <v>SpringGreen</v>
      </c>
      <c r="H1084" t="str">
        <f t="shared" si="145"/>
        <v>00FF7F</v>
      </c>
      <c r="I1084" t="str">
        <f t="shared" si="146"/>
        <v>00</v>
      </c>
      <c r="J1084" t="str">
        <f t="shared" si="147"/>
        <v>FF</v>
      </c>
      <c r="K1084" t="str">
        <f t="shared" si="148"/>
        <v>7F</v>
      </c>
      <c r="L1084">
        <f t="shared" si="149"/>
        <v>0</v>
      </c>
      <c r="M1084">
        <f t="shared" si="150"/>
        <v>255</v>
      </c>
      <c r="N1084">
        <f t="shared" si="151"/>
        <v>127</v>
      </c>
      <c r="P1084" t="str">
        <f t="shared" si="152"/>
        <v>.SpringGreen-bg{background-color:#00FF7F;}</v>
      </c>
    </row>
    <row r="1085" spans="2:16" ht="15.75">
      <c r="B1085" s="1" t="s">
        <v>2257</v>
      </c>
      <c r="C1085" t="s">
        <v>2258</v>
      </c>
      <c r="D1085">
        <v>0</v>
      </c>
      <c r="E1085">
        <v>12240</v>
      </c>
      <c r="F1085">
        <v>0</v>
      </c>
      <c r="G1085" t="str">
        <f t="shared" si="144"/>
        <v>StarCommandBlue</v>
      </c>
      <c r="H1085" t="str">
        <f t="shared" si="145"/>
        <v>007BB8</v>
      </c>
      <c r="I1085" t="str">
        <f t="shared" si="146"/>
        <v>00</v>
      </c>
      <c r="J1085" t="str">
        <f t="shared" si="147"/>
        <v>7B</v>
      </c>
      <c r="K1085" t="str">
        <f t="shared" si="148"/>
        <v>B8</v>
      </c>
      <c r="L1085">
        <f t="shared" si="149"/>
        <v>0</v>
      </c>
      <c r="M1085">
        <f t="shared" si="150"/>
        <v>123</v>
      </c>
      <c r="N1085">
        <f t="shared" si="151"/>
        <v>184</v>
      </c>
      <c r="P1085" t="str">
        <f t="shared" si="152"/>
        <v>.StarCommandBlue-bg{background-color:#007BB8;}</v>
      </c>
    </row>
    <row r="1086" spans="2:16" ht="15.75">
      <c r="B1086" s="1" t="s">
        <v>2259</v>
      </c>
      <c r="C1086" t="s">
        <v>2260</v>
      </c>
      <c r="D1086">
        <v>6885</v>
      </c>
      <c r="E1086">
        <v>13005</v>
      </c>
      <c r="F1086">
        <v>6885</v>
      </c>
      <c r="G1086" t="str">
        <f t="shared" si="144"/>
        <v>SteelBlue</v>
      </c>
      <c r="H1086" t="str">
        <f t="shared" si="145"/>
        <v>4682B4</v>
      </c>
      <c r="I1086" t="str">
        <f t="shared" si="146"/>
        <v>46</v>
      </c>
      <c r="J1086" t="str">
        <f t="shared" si="147"/>
        <v>82</v>
      </c>
      <c r="K1086" t="str">
        <f t="shared" si="148"/>
        <v>B4</v>
      </c>
      <c r="L1086">
        <f t="shared" si="149"/>
        <v>70</v>
      </c>
      <c r="M1086">
        <f t="shared" si="150"/>
        <v>130</v>
      </c>
      <c r="N1086">
        <f t="shared" si="151"/>
        <v>180</v>
      </c>
      <c r="P1086" t="str">
        <f t="shared" si="152"/>
        <v>.SteelBlue-bg{background-color:#4682B4;}</v>
      </c>
    </row>
    <row r="1087" spans="2:16" ht="15.75">
      <c r="B1087" s="1" t="s">
        <v>2261</v>
      </c>
      <c r="C1087" t="s">
        <v>2262</v>
      </c>
      <c r="D1087">
        <v>20400</v>
      </c>
      <c r="E1087">
        <v>5100</v>
      </c>
      <c r="F1087">
        <v>20400</v>
      </c>
      <c r="G1087" t="str">
        <f t="shared" si="144"/>
        <v>SteelPink</v>
      </c>
      <c r="H1087" t="str">
        <f t="shared" si="145"/>
        <v>CC33CC</v>
      </c>
      <c r="I1087" t="str">
        <f t="shared" si="146"/>
        <v>CC</v>
      </c>
      <c r="J1087" t="str">
        <f t="shared" si="147"/>
        <v>33</v>
      </c>
      <c r="K1087" t="str">
        <f t="shared" si="148"/>
        <v>CC</v>
      </c>
      <c r="L1087">
        <f t="shared" si="149"/>
        <v>204</v>
      </c>
      <c r="M1087">
        <f t="shared" si="150"/>
        <v>51</v>
      </c>
      <c r="N1087">
        <f t="shared" si="151"/>
        <v>204</v>
      </c>
      <c r="P1087" t="str">
        <f t="shared" si="152"/>
        <v>.SteelPink-bg{background-color:#CC33CC;}</v>
      </c>
    </row>
    <row r="1088" spans="2:16" ht="15.75">
      <c r="B1088" s="1" t="s">
        <v>2263</v>
      </c>
      <c r="C1088" t="s">
        <v>2264</v>
      </c>
      <c r="D1088">
        <v>9435</v>
      </c>
      <c r="E1088">
        <v>13770</v>
      </c>
      <c r="F1088">
        <v>9435</v>
      </c>
      <c r="G1088" t="str">
        <f t="shared" si="144"/>
        <v>SteelTeal</v>
      </c>
      <c r="H1088" t="str">
        <f t="shared" si="145"/>
        <v>5F8A8B</v>
      </c>
      <c r="I1088" t="str">
        <f t="shared" si="146"/>
        <v>5F</v>
      </c>
      <c r="J1088" t="str">
        <f t="shared" si="147"/>
        <v>8A</v>
      </c>
      <c r="K1088" t="str">
        <f t="shared" si="148"/>
        <v>8B</v>
      </c>
      <c r="L1088">
        <f t="shared" si="149"/>
        <v>95</v>
      </c>
      <c r="M1088">
        <f t="shared" si="150"/>
        <v>138</v>
      </c>
      <c r="N1088">
        <f t="shared" si="151"/>
        <v>139</v>
      </c>
      <c r="P1088" t="str">
        <f t="shared" si="152"/>
        <v>.SteelTeal-bg{background-color:#5F8A8B;}</v>
      </c>
    </row>
    <row r="1089" spans="2:16" ht="15.75">
      <c r="B1089" s="1" t="s">
        <v>2265</v>
      </c>
      <c r="C1089" t="s">
        <v>1629</v>
      </c>
      <c r="D1089">
        <v>24990</v>
      </c>
      <c r="E1089">
        <v>21675</v>
      </c>
      <c r="F1089">
        <v>24990</v>
      </c>
      <c r="G1089" t="str">
        <f t="shared" si="144"/>
        <v>StilDeGrainYellow</v>
      </c>
      <c r="H1089" t="str">
        <f t="shared" si="145"/>
        <v>FADA5E</v>
      </c>
      <c r="I1089" t="str">
        <f t="shared" si="146"/>
        <v>FA</v>
      </c>
      <c r="J1089" t="str">
        <f t="shared" si="147"/>
        <v>DA</v>
      </c>
      <c r="K1089" t="str">
        <f t="shared" si="148"/>
        <v>5E</v>
      </c>
      <c r="L1089">
        <f t="shared" si="149"/>
        <v>250</v>
      </c>
      <c r="M1089">
        <f t="shared" si="150"/>
        <v>218</v>
      </c>
      <c r="N1089">
        <f t="shared" si="151"/>
        <v>94</v>
      </c>
      <c r="P1089" t="str">
        <f t="shared" si="152"/>
        <v>.StilDeGrainYellow-bg{background-color:#FADA5E;}</v>
      </c>
    </row>
    <row r="1090" spans="2:16" ht="15.75">
      <c r="B1090" s="1" t="s">
        <v>2266</v>
      </c>
      <c r="C1090" t="s">
        <v>708</v>
      </c>
      <c r="D1090">
        <v>15300</v>
      </c>
      <c r="E1090">
        <v>0</v>
      </c>
      <c r="F1090">
        <v>15300</v>
      </c>
      <c r="G1090" t="str">
        <f t="shared" si="144"/>
        <v>Stizza</v>
      </c>
      <c r="H1090" t="str">
        <f t="shared" si="145"/>
        <v>990000</v>
      </c>
      <c r="I1090" t="str">
        <f t="shared" si="146"/>
        <v>99</v>
      </c>
      <c r="J1090" t="str">
        <f t="shared" si="147"/>
        <v>00</v>
      </c>
      <c r="K1090" t="str">
        <f t="shared" si="148"/>
        <v>00</v>
      </c>
      <c r="L1090">
        <f t="shared" si="149"/>
        <v>153</v>
      </c>
      <c r="M1090">
        <f t="shared" si="150"/>
        <v>0</v>
      </c>
      <c r="N1090">
        <f t="shared" si="151"/>
        <v>0</v>
      </c>
      <c r="P1090" t="str">
        <f t="shared" si="152"/>
        <v>.Stizza-bg{background-color:#990000;}</v>
      </c>
    </row>
    <row r="1091" spans="2:16" ht="15.75">
      <c r="B1091" s="1" t="s">
        <v>2267</v>
      </c>
      <c r="C1091" t="s">
        <v>2268</v>
      </c>
      <c r="D1091">
        <v>7905</v>
      </c>
      <c r="E1091">
        <v>10200</v>
      </c>
      <c r="F1091">
        <v>7905</v>
      </c>
      <c r="G1091" t="str">
        <f t="shared" si="144"/>
        <v>Stormcloud</v>
      </c>
      <c r="H1091" t="str">
        <f t="shared" si="145"/>
        <v>4F666A</v>
      </c>
      <c r="I1091" t="str">
        <f t="shared" si="146"/>
        <v>4F</v>
      </c>
      <c r="J1091" t="str">
        <f t="shared" si="147"/>
        <v>66</v>
      </c>
      <c r="K1091" t="str">
        <f t="shared" si="148"/>
        <v>6A</v>
      </c>
      <c r="L1091">
        <f t="shared" si="149"/>
        <v>79</v>
      </c>
      <c r="M1091">
        <f t="shared" si="150"/>
        <v>102</v>
      </c>
      <c r="N1091">
        <f t="shared" si="151"/>
        <v>106</v>
      </c>
      <c r="P1091" t="str">
        <f t="shared" si="152"/>
        <v>.Stormcloud-bg{background-color:#4F666A;}</v>
      </c>
    </row>
    <row r="1092" spans="2:16" ht="15.75">
      <c r="B1092" s="1" t="s">
        <v>2269</v>
      </c>
      <c r="C1092" t="s">
        <v>2270</v>
      </c>
      <c r="D1092">
        <v>22695</v>
      </c>
      <c r="E1092">
        <v>21675</v>
      </c>
      <c r="F1092">
        <v>22695</v>
      </c>
      <c r="G1092" t="str">
        <f t="shared" ref="G1092:G1155" si="153">SUBSTITUTE(PROPER(AlphaNumericOnly(B1092))," ","")</f>
        <v>Straw</v>
      </c>
      <c r="H1092" t="str">
        <f t="shared" ref="H1092:H1155" si="154">RIGHT(C1092,6)</f>
        <v>E4D96F</v>
      </c>
      <c r="I1092" t="str">
        <f t="shared" ref="I1092:I1155" si="155">MID($H1092,1,2)</f>
        <v>E4</v>
      </c>
      <c r="J1092" t="str">
        <f t="shared" ref="J1092:J1155" si="156">MID($H1092,3,2)</f>
        <v>D9</v>
      </c>
      <c r="K1092" t="str">
        <f t="shared" ref="K1092:K1155" si="157">MID($H1092,5,2)</f>
        <v>6F</v>
      </c>
      <c r="L1092">
        <f t="shared" ref="L1092:L1155" si="158">HEX2DEC(I1092)</f>
        <v>228</v>
      </c>
      <c r="M1092">
        <f t="shared" ref="M1092:M1155" si="159">HEX2DEC(J1092)</f>
        <v>217</v>
      </c>
      <c r="N1092">
        <f t="shared" ref="N1092:N1155" si="160">HEX2DEC(K1092)</f>
        <v>111</v>
      </c>
      <c r="P1092" t="str">
        <f t="shared" ref="P1092:P1155" si="161">"."&amp;G1092&amp;$P$1&amp;"{"&amp;$P$2&amp;":#"&amp;H1092&amp;";}"</f>
        <v>.Straw-bg{background-color:#E4D96F;}</v>
      </c>
    </row>
    <row r="1093" spans="2:16" ht="15.75">
      <c r="B1093" s="1" t="s">
        <v>2271</v>
      </c>
      <c r="C1093" t="s">
        <v>2272</v>
      </c>
      <c r="D1093">
        <v>25245</v>
      </c>
      <c r="E1093">
        <v>8925</v>
      </c>
      <c r="F1093">
        <v>25245</v>
      </c>
      <c r="G1093" t="str">
        <f t="shared" si="153"/>
        <v>Strawberry</v>
      </c>
      <c r="H1093" t="str">
        <f t="shared" si="154"/>
        <v>FC5A8D</v>
      </c>
      <c r="I1093" t="str">
        <f t="shared" si="155"/>
        <v>FC</v>
      </c>
      <c r="J1093" t="str">
        <f t="shared" si="156"/>
        <v>5A</v>
      </c>
      <c r="K1093" t="str">
        <f t="shared" si="157"/>
        <v>8D</v>
      </c>
      <c r="L1093">
        <f t="shared" si="158"/>
        <v>252</v>
      </c>
      <c r="M1093">
        <f t="shared" si="159"/>
        <v>90</v>
      </c>
      <c r="N1093">
        <f t="shared" si="160"/>
        <v>141</v>
      </c>
      <c r="P1093" t="str">
        <f t="shared" si="161"/>
        <v>.Strawberry-bg{background-color:#FC5A8D;}</v>
      </c>
    </row>
    <row r="1094" spans="2:16" ht="15.75">
      <c r="B1094" s="1" t="s">
        <v>2273</v>
      </c>
      <c r="C1094" t="s">
        <v>2274</v>
      </c>
      <c r="D1094">
        <v>14535</v>
      </c>
      <c r="E1094">
        <v>7905</v>
      </c>
      <c r="F1094">
        <v>14535</v>
      </c>
      <c r="G1094" t="str">
        <f t="shared" si="153"/>
        <v>SugarPlum</v>
      </c>
      <c r="H1094" t="str">
        <f t="shared" si="154"/>
        <v>914E75</v>
      </c>
      <c r="I1094" t="str">
        <f t="shared" si="155"/>
        <v>91</v>
      </c>
      <c r="J1094" t="str">
        <f t="shared" si="156"/>
        <v>4E</v>
      </c>
      <c r="K1094" t="str">
        <f t="shared" si="157"/>
        <v>75</v>
      </c>
      <c r="L1094">
        <f t="shared" si="158"/>
        <v>145</v>
      </c>
      <c r="M1094">
        <f t="shared" si="159"/>
        <v>78</v>
      </c>
      <c r="N1094">
        <f t="shared" si="160"/>
        <v>117</v>
      </c>
      <c r="P1094" t="str">
        <f t="shared" si="161"/>
        <v>.SugarPlum-bg{background-color:#914E75;}</v>
      </c>
    </row>
    <row r="1095" spans="2:16" ht="15.75">
      <c r="B1095" s="1" t="s">
        <v>2275</v>
      </c>
      <c r="C1095" t="s">
        <v>2276</v>
      </c>
      <c r="D1095">
        <v>25500</v>
      </c>
      <c r="E1095">
        <v>6375</v>
      </c>
      <c r="F1095">
        <v>25500</v>
      </c>
      <c r="G1095" t="str">
        <f t="shared" si="153"/>
        <v>SunburntCyclops</v>
      </c>
      <c r="H1095" t="str">
        <f t="shared" si="154"/>
        <v>FF404C</v>
      </c>
      <c r="I1095" t="str">
        <f t="shared" si="155"/>
        <v>FF</v>
      </c>
      <c r="J1095" t="str">
        <f t="shared" si="156"/>
        <v>40</v>
      </c>
      <c r="K1095" t="str">
        <f t="shared" si="157"/>
        <v>4C</v>
      </c>
      <c r="L1095">
        <f t="shared" si="158"/>
        <v>255</v>
      </c>
      <c r="M1095">
        <f t="shared" si="159"/>
        <v>64</v>
      </c>
      <c r="N1095">
        <f t="shared" si="160"/>
        <v>76</v>
      </c>
      <c r="P1095" t="str">
        <f t="shared" si="161"/>
        <v>.SunburntCyclops-bg{background-color:#FF404C;}</v>
      </c>
    </row>
    <row r="1096" spans="2:16" ht="15.75">
      <c r="B1096" s="1" t="s">
        <v>2277</v>
      </c>
      <c r="C1096" t="s">
        <v>2278</v>
      </c>
      <c r="D1096">
        <v>25500</v>
      </c>
      <c r="E1096">
        <v>20400</v>
      </c>
      <c r="F1096">
        <v>25500</v>
      </c>
      <c r="G1096" t="str">
        <f t="shared" si="153"/>
        <v>Sunglow</v>
      </c>
      <c r="H1096" t="str">
        <f t="shared" si="154"/>
        <v>FFCC33</v>
      </c>
      <c r="I1096" t="str">
        <f t="shared" si="155"/>
        <v>FF</v>
      </c>
      <c r="J1096" t="str">
        <f t="shared" si="156"/>
        <v>CC</v>
      </c>
      <c r="K1096" t="str">
        <f t="shared" si="157"/>
        <v>33</v>
      </c>
      <c r="L1096">
        <f t="shared" si="158"/>
        <v>255</v>
      </c>
      <c r="M1096">
        <f t="shared" si="159"/>
        <v>204</v>
      </c>
      <c r="N1096">
        <f t="shared" si="160"/>
        <v>51</v>
      </c>
      <c r="P1096" t="str">
        <f t="shared" si="161"/>
        <v>.Sunglow-bg{background-color:#FFCC33;}</v>
      </c>
    </row>
    <row r="1097" spans="2:16" ht="15.75">
      <c r="B1097" s="1" t="s">
        <v>2279</v>
      </c>
      <c r="C1097" t="s">
        <v>2280</v>
      </c>
      <c r="D1097">
        <v>24225</v>
      </c>
      <c r="E1097">
        <v>24225</v>
      </c>
      <c r="F1097">
        <v>24225</v>
      </c>
      <c r="G1097" t="str">
        <f t="shared" si="153"/>
        <v>Sunny</v>
      </c>
      <c r="H1097" t="str">
        <f t="shared" si="154"/>
        <v>F2F27A</v>
      </c>
      <c r="I1097" t="str">
        <f t="shared" si="155"/>
        <v>F2</v>
      </c>
      <c r="J1097" t="str">
        <f t="shared" si="156"/>
        <v>F2</v>
      </c>
      <c r="K1097" t="str">
        <f t="shared" si="157"/>
        <v>7A</v>
      </c>
      <c r="L1097">
        <f t="shared" si="158"/>
        <v>242</v>
      </c>
      <c r="M1097">
        <f t="shared" si="159"/>
        <v>242</v>
      </c>
      <c r="N1097">
        <f t="shared" si="160"/>
        <v>122</v>
      </c>
      <c r="P1097" t="str">
        <f t="shared" si="161"/>
        <v>.Sunny-bg{background-color:#F2F27A;}</v>
      </c>
    </row>
    <row r="1098" spans="2:16" ht="15.75">
      <c r="B1098" s="1" t="s">
        <v>2281</v>
      </c>
      <c r="C1098" t="s">
        <v>2282</v>
      </c>
      <c r="D1098">
        <v>22695</v>
      </c>
      <c r="E1098">
        <v>17085</v>
      </c>
      <c r="F1098">
        <v>22695</v>
      </c>
      <c r="G1098" t="str">
        <f t="shared" si="153"/>
        <v>Sunray</v>
      </c>
      <c r="H1098" t="str">
        <f t="shared" si="154"/>
        <v>E3AB57</v>
      </c>
      <c r="I1098" t="str">
        <f t="shared" si="155"/>
        <v>E3</v>
      </c>
      <c r="J1098" t="str">
        <f t="shared" si="156"/>
        <v>AB</v>
      </c>
      <c r="K1098" t="str">
        <f t="shared" si="157"/>
        <v>57</v>
      </c>
      <c r="L1098">
        <f t="shared" si="158"/>
        <v>227</v>
      </c>
      <c r="M1098">
        <f t="shared" si="159"/>
        <v>171</v>
      </c>
      <c r="N1098">
        <f t="shared" si="160"/>
        <v>87</v>
      </c>
      <c r="P1098" t="str">
        <f t="shared" si="161"/>
        <v>.Sunray-bg{background-color:#E3AB57;}</v>
      </c>
    </row>
    <row r="1099" spans="2:16" ht="15.75">
      <c r="B1099" s="1" t="s">
        <v>2283</v>
      </c>
      <c r="C1099" t="s">
        <v>859</v>
      </c>
      <c r="D1099">
        <v>24990</v>
      </c>
      <c r="E1099">
        <v>21420</v>
      </c>
      <c r="F1099">
        <v>24990</v>
      </c>
      <c r="G1099" t="str">
        <f t="shared" si="153"/>
        <v>Sunset</v>
      </c>
      <c r="H1099" t="str">
        <f t="shared" si="154"/>
        <v>FAD6A5</v>
      </c>
      <c r="I1099" t="str">
        <f t="shared" si="155"/>
        <v>FA</v>
      </c>
      <c r="J1099" t="str">
        <f t="shared" si="156"/>
        <v>D6</v>
      </c>
      <c r="K1099" t="str">
        <f t="shared" si="157"/>
        <v>A5</v>
      </c>
      <c r="L1099">
        <f t="shared" si="158"/>
        <v>250</v>
      </c>
      <c r="M1099">
        <f t="shared" si="159"/>
        <v>214</v>
      </c>
      <c r="N1099">
        <f t="shared" si="160"/>
        <v>165</v>
      </c>
      <c r="P1099" t="str">
        <f t="shared" si="161"/>
        <v>.Sunset-bg{background-color:#FAD6A5;}</v>
      </c>
    </row>
    <row r="1100" spans="2:16" ht="15.75">
      <c r="B1100" s="1" t="s">
        <v>2284</v>
      </c>
      <c r="C1100" t="s">
        <v>2285</v>
      </c>
      <c r="D1100">
        <v>25245</v>
      </c>
      <c r="E1100">
        <v>9435</v>
      </c>
      <c r="F1100">
        <v>25245</v>
      </c>
      <c r="G1100" t="str">
        <f t="shared" si="153"/>
        <v>SunsetOrange</v>
      </c>
      <c r="H1100" t="str">
        <f t="shared" si="154"/>
        <v>FD5E53</v>
      </c>
      <c r="I1100" t="str">
        <f t="shared" si="155"/>
        <v>FD</v>
      </c>
      <c r="J1100" t="str">
        <f t="shared" si="156"/>
        <v>5E</v>
      </c>
      <c r="K1100" t="str">
        <f t="shared" si="157"/>
        <v>53</v>
      </c>
      <c r="L1100">
        <f t="shared" si="158"/>
        <v>253</v>
      </c>
      <c r="M1100">
        <f t="shared" si="159"/>
        <v>94</v>
      </c>
      <c r="N1100">
        <f t="shared" si="160"/>
        <v>83</v>
      </c>
      <c r="P1100" t="str">
        <f t="shared" si="161"/>
        <v>.SunsetOrange-bg{background-color:#FD5E53;}</v>
      </c>
    </row>
    <row r="1101" spans="2:16" ht="15.75">
      <c r="B1101" s="1" t="s">
        <v>2286</v>
      </c>
      <c r="C1101" t="s">
        <v>2287</v>
      </c>
      <c r="D1101">
        <v>20655</v>
      </c>
      <c r="E1101">
        <v>10710</v>
      </c>
      <c r="F1101">
        <v>20655</v>
      </c>
      <c r="G1101" t="str">
        <f t="shared" si="153"/>
        <v>SuperPink</v>
      </c>
      <c r="H1101" t="str">
        <f t="shared" si="154"/>
        <v>CF6BA9</v>
      </c>
      <c r="I1101" t="str">
        <f t="shared" si="155"/>
        <v>CF</v>
      </c>
      <c r="J1101" t="str">
        <f t="shared" si="156"/>
        <v>6B</v>
      </c>
      <c r="K1101" t="str">
        <f t="shared" si="157"/>
        <v>A9</v>
      </c>
      <c r="L1101">
        <f t="shared" si="158"/>
        <v>207</v>
      </c>
      <c r="M1101">
        <f t="shared" si="159"/>
        <v>107</v>
      </c>
      <c r="N1101">
        <f t="shared" si="160"/>
        <v>169</v>
      </c>
      <c r="P1101" t="str">
        <f t="shared" si="161"/>
        <v>.SuperPink-bg{background-color:#CF6BA9;}</v>
      </c>
    </row>
    <row r="1102" spans="2:16" ht="15.75">
      <c r="B1102" s="1" t="s">
        <v>2288</v>
      </c>
      <c r="C1102" t="s">
        <v>2289</v>
      </c>
      <c r="D1102">
        <v>16830</v>
      </c>
      <c r="E1102">
        <v>5610</v>
      </c>
      <c r="F1102">
        <v>16830</v>
      </c>
      <c r="G1102" t="str">
        <f t="shared" si="153"/>
        <v>SweetBrown</v>
      </c>
      <c r="H1102" t="str">
        <f t="shared" si="154"/>
        <v>A83731</v>
      </c>
      <c r="I1102" t="str">
        <f t="shared" si="155"/>
        <v>A8</v>
      </c>
      <c r="J1102" t="str">
        <f t="shared" si="156"/>
        <v>37</v>
      </c>
      <c r="K1102" t="str">
        <f t="shared" si="157"/>
        <v>31</v>
      </c>
      <c r="L1102">
        <f t="shared" si="158"/>
        <v>168</v>
      </c>
      <c r="M1102">
        <f t="shared" si="159"/>
        <v>55</v>
      </c>
      <c r="N1102">
        <f t="shared" si="160"/>
        <v>49</v>
      </c>
      <c r="P1102" t="str">
        <f t="shared" si="161"/>
        <v>.SweetBrown-bg{background-color:#A83731;}</v>
      </c>
    </row>
    <row r="1103" spans="2:16" ht="15.75">
      <c r="B1103" s="1" t="s">
        <v>2290</v>
      </c>
      <c r="C1103" t="s">
        <v>2291</v>
      </c>
      <c r="D1103">
        <v>20910</v>
      </c>
      <c r="E1103">
        <v>18105</v>
      </c>
      <c r="F1103">
        <v>20910</v>
      </c>
      <c r="G1103" t="str">
        <f t="shared" si="153"/>
        <v>Tan</v>
      </c>
      <c r="H1103" t="str">
        <f t="shared" si="154"/>
        <v>D2B48C</v>
      </c>
      <c r="I1103" t="str">
        <f t="shared" si="155"/>
        <v>D2</v>
      </c>
      <c r="J1103" t="str">
        <f t="shared" si="156"/>
        <v>B4</v>
      </c>
      <c r="K1103" t="str">
        <f t="shared" si="157"/>
        <v>8C</v>
      </c>
      <c r="L1103">
        <f t="shared" si="158"/>
        <v>210</v>
      </c>
      <c r="M1103">
        <f t="shared" si="159"/>
        <v>180</v>
      </c>
      <c r="N1103">
        <f t="shared" si="160"/>
        <v>140</v>
      </c>
      <c r="P1103" t="str">
        <f t="shared" si="161"/>
        <v>.Tan-bg{background-color:#D2B48C;}</v>
      </c>
    </row>
    <row r="1104" spans="2:16" ht="15.75">
      <c r="B1104" s="1" t="s">
        <v>2292</v>
      </c>
      <c r="C1104" t="s">
        <v>2293</v>
      </c>
      <c r="D1104">
        <v>24990</v>
      </c>
      <c r="E1104">
        <v>7650</v>
      </c>
      <c r="F1104">
        <v>24990</v>
      </c>
      <c r="G1104" t="str">
        <f t="shared" si="153"/>
        <v>Tangelo</v>
      </c>
      <c r="H1104" t="str">
        <f t="shared" si="154"/>
        <v>F94D00</v>
      </c>
      <c r="I1104" t="str">
        <f t="shared" si="155"/>
        <v>F9</v>
      </c>
      <c r="J1104" t="str">
        <f t="shared" si="156"/>
        <v>4D</v>
      </c>
      <c r="K1104" t="str">
        <f t="shared" si="157"/>
        <v>00</v>
      </c>
      <c r="L1104">
        <f t="shared" si="158"/>
        <v>249</v>
      </c>
      <c r="M1104">
        <f t="shared" si="159"/>
        <v>77</v>
      </c>
      <c r="N1104">
        <f t="shared" si="160"/>
        <v>0</v>
      </c>
      <c r="P1104" t="str">
        <f t="shared" si="161"/>
        <v>.Tangelo-bg{background-color:#F94D00;}</v>
      </c>
    </row>
    <row r="1105" spans="2:16" ht="15.75">
      <c r="B1105" s="1" t="s">
        <v>2294</v>
      </c>
      <c r="C1105" t="s">
        <v>2295</v>
      </c>
      <c r="D1105">
        <v>24225</v>
      </c>
      <c r="E1105">
        <v>13260</v>
      </c>
      <c r="F1105">
        <v>24225</v>
      </c>
      <c r="G1105" t="str">
        <f t="shared" si="153"/>
        <v>Tangerine</v>
      </c>
      <c r="H1105" t="str">
        <f t="shared" si="154"/>
        <v>F28500</v>
      </c>
      <c r="I1105" t="str">
        <f t="shared" si="155"/>
        <v>F2</v>
      </c>
      <c r="J1105" t="str">
        <f t="shared" si="156"/>
        <v>85</v>
      </c>
      <c r="K1105" t="str">
        <f t="shared" si="157"/>
        <v>00</v>
      </c>
      <c r="L1105">
        <f t="shared" si="158"/>
        <v>242</v>
      </c>
      <c r="M1105">
        <f t="shared" si="159"/>
        <v>133</v>
      </c>
      <c r="N1105">
        <f t="shared" si="160"/>
        <v>0</v>
      </c>
      <c r="P1105" t="str">
        <f t="shared" si="161"/>
        <v>.Tangerine-bg{background-color:#F28500;}</v>
      </c>
    </row>
    <row r="1106" spans="2:16" ht="15.75">
      <c r="B1106" s="1" t="s">
        <v>2296</v>
      </c>
      <c r="C1106" t="s">
        <v>2297</v>
      </c>
      <c r="D1106">
        <v>25500</v>
      </c>
      <c r="E1106">
        <v>20400</v>
      </c>
      <c r="F1106">
        <v>25500</v>
      </c>
      <c r="G1106" t="str">
        <f t="shared" si="153"/>
        <v>TangerineYellow</v>
      </c>
      <c r="H1106" t="str">
        <f t="shared" si="154"/>
        <v>FFCC00</v>
      </c>
      <c r="I1106" t="str">
        <f t="shared" si="155"/>
        <v>FF</v>
      </c>
      <c r="J1106" t="str">
        <f t="shared" si="156"/>
        <v>CC</v>
      </c>
      <c r="K1106" t="str">
        <f t="shared" si="157"/>
        <v>00</v>
      </c>
      <c r="L1106">
        <f t="shared" si="158"/>
        <v>255</v>
      </c>
      <c r="M1106">
        <f t="shared" si="159"/>
        <v>204</v>
      </c>
      <c r="N1106">
        <f t="shared" si="160"/>
        <v>0</v>
      </c>
      <c r="P1106" t="str">
        <f t="shared" si="161"/>
        <v>.TangerineYellow-bg{background-color:#FFCC00;}</v>
      </c>
    </row>
    <row r="1107" spans="2:16" ht="15.75">
      <c r="B1107" s="1" t="s">
        <v>2298</v>
      </c>
      <c r="C1107" t="s">
        <v>544</v>
      </c>
      <c r="D1107">
        <v>22695</v>
      </c>
      <c r="E1107">
        <v>11220</v>
      </c>
      <c r="F1107">
        <v>22695</v>
      </c>
      <c r="G1107" t="str">
        <f t="shared" si="153"/>
        <v>TangoPink</v>
      </c>
      <c r="H1107" t="str">
        <f t="shared" si="154"/>
        <v>E4717A</v>
      </c>
      <c r="I1107" t="str">
        <f t="shared" si="155"/>
        <v>E4</v>
      </c>
      <c r="J1107" t="str">
        <f t="shared" si="156"/>
        <v>71</v>
      </c>
      <c r="K1107" t="str">
        <f t="shared" si="157"/>
        <v>7A</v>
      </c>
      <c r="L1107">
        <f t="shared" si="158"/>
        <v>228</v>
      </c>
      <c r="M1107">
        <f t="shared" si="159"/>
        <v>113</v>
      </c>
      <c r="N1107">
        <f t="shared" si="160"/>
        <v>122</v>
      </c>
      <c r="P1107" t="str">
        <f t="shared" si="161"/>
        <v>.TangoPink-bg{background-color:#E4717A;}</v>
      </c>
    </row>
    <row r="1108" spans="2:16" ht="15.75">
      <c r="B1108" s="1" t="s">
        <v>2299</v>
      </c>
      <c r="C1108" t="s">
        <v>2300</v>
      </c>
      <c r="D1108">
        <v>24990</v>
      </c>
      <c r="E1108">
        <v>7650</v>
      </c>
      <c r="F1108">
        <v>24990</v>
      </c>
      <c r="G1108" t="str">
        <f t="shared" si="153"/>
        <v>TartOrange</v>
      </c>
      <c r="H1108" t="str">
        <f t="shared" si="154"/>
        <v>FB4D46</v>
      </c>
      <c r="I1108" t="str">
        <f t="shared" si="155"/>
        <v>FB</v>
      </c>
      <c r="J1108" t="str">
        <f t="shared" si="156"/>
        <v>4D</v>
      </c>
      <c r="K1108" t="str">
        <f t="shared" si="157"/>
        <v>46</v>
      </c>
      <c r="L1108">
        <f t="shared" si="158"/>
        <v>251</v>
      </c>
      <c r="M1108">
        <f t="shared" si="159"/>
        <v>77</v>
      </c>
      <c r="N1108">
        <f t="shared" si="160"/>
        <v>70</v>
      </c>
      <c r="P1108" t="str">
        <f t="shared" si="161"/>
        <v>.TartOrange-bg{background-color:#FB4D46;}</v>
      </c>
    </row>
    <row r="1109" spans="2:16" ht="15.75">
      <c r="B1109" s="1" t="s">
        <v>2301</v>
      </c>
      <c r="C1109" t="s">
        <v>771</v>
      </c>
      <c r="D1109">
        <v>7140</v>
      </c>
      <c r="E1109">
        <v>6120</v>
      </c>
      <c r="F1109">
        <v>7140</v>
      </c>
      <c r="G1109" t="str">
        <f t="shared" si="153"/>
        <v>Taupe</v>
      </c>
      <c r="H1109" t="str">
        <f t="shared" si="154"/>
        <v>483C32</v>
      </c>
      <c r="I1109" t="str">
        <f t="shared" si="155"/>
        <v>48</v>
      </c>
      <c r="J1109" t="str">
        <f t="shared" si="156"/>
        <v>3C</v>
      </c>
      <c r="K1109" t="str">
        <f t="shared" si="157"/>
        <v>32</v>
      </c>
      <c r="L1109">
        <f t="shared" si="158"/>
        <v>72</v>
      </c>
      <c r="M1109">
        <f t="shared" si="159"/>
        <v>60</v>
      </c>
      <c r="N1109">
        <f t="shared" si="160"/>
        <v>50</v>
      </c>
      <c r="P1109" t="str">
        <f t="shared" si="161"/>
        <v>.Taupe-bg{background-color:#483C32;}</v>
      </c>
    </row>
    <row r="1110" spans="2:16" ht="15.75">
      <c r="B1110" s="1" t="s">
        <v>2302</v>
      </c>
      <c r="C1110" t="s">
        <v>2303</v>
      </c>
      <c r="D1110">
        <v>14025</v>
      </c>
      <c r="E1110">
        <v>13260</v>
      </c>
      <c r="F1110">
        <v>14025</v>
      </c>
      <c r="G1110" t="str">
        <f t="shared" si="153"/>
        <v>TaupeGray</v>
      </c>
      <c r="H1110" t="str">
        <f t="shared" si="154"/>
        <v>8B8589</v>
      </c>
      <c r="I1110" t="str">
        <f t="shared" si="155"/>
        <v>8B</v>
      </c>
      <c r="J1110" t="str">
        <f t="shared" si="156"/>
        <v>85</v>
      </c>
      <c r="K1110" t="str">
        <f t="shared" si="157"/>
        <v>89</v>
      </c>
      <c r="L1110">
        <f t="shared" si="158"/>
        <v>139</v>
      </c>
      <c r="M1110">
        <f t="shared" si="159"/>
        <v>133</v>
      </c>
      <c r="N1110">
        <f t="shared" si="160"/>
        <v>137</v>
      </c>
      <c r="P1110" t="str">
        <f t="shared" si="161"/>
        <v>.TaupeGray-bg{background-color:#8B8589;}</v>
      </c>
    </row>
    <row r="1111" spans="2:16" ht="15.75">
      <c r="B1111" s="1" t="s">
        <v>2304</v>
      </c>
      <c r="C1111" t="s">
        <v>2305</v>
      </c>
      <c r="D1111">
        <v>20910</v>
      </c>
      <c r="E1111">
        <v>23970</v>
      </c>
      <c r="F1111">
        <v>20910</v>
      </c>
      <c r="G1111" t="str">
        <f t="shared" si="153"/>
        <v>TeaGreen</v>
      </c>
      <c r="H1111" t="str">
        <f t="shared" si="154"/>
        <v>D0F0C0</v>
      </c>
      <c r="I1111" t="str">
        <f t="shared" si="155"/>
        <v>D0</v>
      </c>
      <c r="J1111" t="str">
        <f t="shared" si="156"/>
        <v>F0</v>
      </c>
      <c r="K1111" t="str">
        <f t="shared" si="157"/>
        <v>C0</v>
      </c>
      <c r="L1111">
        <f t="shared" si="158"/>
        <v>208</v>
      </c>
      <c r="M1111">
        <f t="shared" si="159"/>
        <v>240</v>
      </c>
      <c r="N1111">
        <f t="shared" si="160"/>
        <v>192</v>
      </c>
      <c r="P1111" t="str">
        <f t="shared" si="161"/>
        <v>.TeaGreen-bg{background-color:#D0F0C0;}</v>
      </c>
    </row>
    <row r="1112" spans="2:16" ht="15.75">
      <c r="B1112" s="1" t="s">
        <v>2306</v>
      </c>
      <c r="C1112" t="s">
        <v>662</v>
      </c>
      <c r="D1112">
        <v>24735</v>
      </c>
      <c r="E1112">
        <v>13005</v>
      </c>
      <c r="F1112">
        <v>24735</v>
      </c>
      <c r="G1112" t="str">
        <f t="shared" si="153"/>
        <v>TeaRose</v>
      </c>
      <c r="H1112" t="str">
        <f t="shared" si="154"/>
        <v>F88379</v>
      </c>
      <c r="I1112" t="str">
        <f t="shared" si="155"/>
        <v>F8</v>
      </c>
      <c r="J1112" t="str">
        <f t="shared" si="156"/>
        <v>83</v>
      </c>
      <c r="K1112" t="str">
        <f t="shared" si="157"/>
        <v>79</v>
      </c>
      <c r="L1112">
        <f t="shared" si="158"/>
        <v>248</v>
      </c>
      <c r="M1112">
        <f t="shared" si="159"/>
        <v>131</v>
      </c>
      <c r="N1112">
        <f t="shared" si="160"/>
        <v>121</v>
      </c>
      <c r="P1112" t="str">
        <f t="shared" si="161"/>
        <v>.TeaRose-bg{background-color:#F88379;}</v>
      </c>
    </row>
    <row r="1113" spans="2:16" ht="15.75">
      <c r="B1113" s="1" t="s">
        <v>2306</v>
      </c>
      <c r="C1113" t="s">
        <v>313</v>
      </c>
      <c r="D1113">
        <v>24480</v>
      </c>
      <c r="E1113">
        <v>19380</v>
      </c>
      <c r="F1113">
        <v>24480</v>
      </c>
      <c r="G1113" t="str">
        <f t="shared" si="153"/>
        <v>TeaRose</v>
      </c>
      <c r="H1113" t="str">
        <f t="shared" si="154"/>
        <v>F4C2C2</v>
      </c>
      <c r="I1113" t="str">
        <f t="shared" si="155"/>
        <v>F4</v>
      </c>
      <c r="J1113" t="str">
        <f t="shared" si="156"/>
        <v>C2</v>
      </c>
      <c r="K1113" t="str">
        <f t="shared" si="157"/>
        <v>C2</v>
      </c>
      <c r="L1113">
        <f t="shared" si="158"/>
        <v>244</v>
      </c>
      <c r="M1113">
        <f t="shared" si="159"/>
        <v>194</v>
      </c>
      <c r="N1113">
        <f t="shared" si="160"/>
        <v>194</v>
      </c>
      <c r="P1113" t="str">
        <f t="shared" si="161"/>
        <v>.TeaRose-bg{background-color:#F4C2C2;}</v>
      </c>
    </row>
    <row r="1114" spans="2:16" ht="15.75">
      <c r="B1114" s="1" t="s">
        <v>2307</v>
      </c>
      <c r="C1114" t="s">
        <v>2308</v>
      </c>
      <c r="D1114">
        <v>0</v>
      </c>
      <c r="E1114">
        <v>12750</v>
      </c>
      <c r="F1114">
        <v>0</v>
      </c>
      <c r="G1114" t="str">
        <f t="shared" si="153"/>
        <v>Teal</v>
      </c>
      <c r="H1114" t="str">
        <f t="shared" si="154"/>
        <v>008080</v>
      </c>
      <c r="I1114" t="str">
        <f t="shared" si="155"/>
        <v>00</v>
      </c>
      <c r="J1114" t="str">
        <f t="shared" si="156"/>
        <v>80</v>
      </c>
      <c r="K1114" t="str">
        <f t="shared" si="157"/>
        <v>80</v>
      </c>
      <c r="L1114">
        <f t="shared" si="158"/>
        <v>0</v>
      </c>
      <c r="M1114">
        <f t="shared" si="159"/>
        <v>128</v>
      </c>
      <c r="N1114">
        <f t="shared" si="160"/>
        <v>128</v>
      </c>
      <c r="P1114" t="str">
        <f t="shared" si="161"/>
        <v>.Teal-bg{background-color:#008080;}</v>
      </c>
    </row>
    <row r="1115" spans="2:16" ht="15.75">
      <c r="B1115" s="1" t="s">
        <v>2309</v>
      </c>
      <c r="C1115" t="s">
        <v>2310</v>
      </c>
      <c r="D1115">
        <v>5355</v>
      </c>
      <c r="E1115">
        <v>11730</v>
      </c>
      <c r="F1115">
        <v>5355</v>
      </c>
      <c r="G1115" t="str">
        <f t="shared" si="153"/>
        <v>TealBlue</v>
      </c>
      <c r="H1115" t="str">
        <f t="shared" si="154"/>
        <v>367588</v>
      </c>
      <c r="I1115" t="str">
        <f t="shared" si="155"/>
        <v>36</v>
      </c>
      <c r="J1115" t="str">
        <f t="shared" si="156"/>
        <v>75</v>
      </c>
      <c r="K1115" t="str">
        <f t="shared" si="157"/>
        <v>88</v>
      </c>
      <c r="L1115">
        <f t="shared" si="158"/>
        <v>54</v>
      </c>
      <c r="M1115">
        <f t="shared" si="159"/>
        <v>117</v>
      </c>
      <c r="N1115">
        <f t="shared" si="160"/>
        <v>136</v>
      </c>
      <c r="P1115" t="str">
        <f t="shared" si="161"/>
        <v>.TealBlue-bg{background-color:#367588;}</v>
      </c>
    </row>
    <row r="1116" spans="2:16" ht="15.75">
      <c r="B1116" s="1" t="s">
        <v>2311</v>
      </c>
      <c r="C1116" t="s">
        <v>2312</v>
      </c>
      <c r="D1116">
        <v>15300</v>
      </c>
      <c r="E1116">
        <v>22950</v>
      </c>
      <c r="F1116">
        <v>15300</v>
      </c>
      <c r="G1116" t="str">
        <f t="shared" si="153"/>
        <v>TealDeer</v>
      </c>
      <c r="H1116" t="str">
        <f t="shared" si="154"/>
        <v>99E6B3</v>
      </c>
      <c r="I1116" t="str">
        <f t="shared" si="155"/>
        <v>99</v>
      </c>
      <c r="J1116" t="str">
        <f t="shared" si="156"/>
        <v>E6</v>
      </c>
      <c r="K1116" t="str">
        <f t="shared" si="157"/>
        <v>B3</v>
      </c>
      <c r="L1116">
        <f t="shared" si="158"/>
        <v>153</v>
      </c>
      <c r="M1116">
        <f t="shared" si="159"/>
        <v>230</v>
      </c>
      <c r="N1116">
        <f t="shared" si="160"/>
        <v>179</v>
      </c>
      <c r="P1116" t="str">
        <f t="shared" si="161"/>
        <v>.TealDeer-bg{background-color:#99E6B3;}</v>
      </c>
    </row>
    <row r="1117" spans="2:16" ht="15.75">
      <c r="B1117" s="1" t="s">
        <v>2313</v>
      </c>
      <c r="C1117" t="s">
        <v>2314</v>
      </c>
      <c r="D1117">
        <v>0</v>
      </c>
      <c r="E1117">
        <v>13005</v>
      </c>
      <c r="F1117">
        <v>0</v>
      </c>
      <c r="G1117" t="str">
        <f t="shared" si="153"/>
        <v>TealGreen</v>
      </c>
      <c r="H1117" t="str">
        <f t="shared" si="154"/>
        <v>00827F</v>
      </c>
      <c r="I1117" t="str">
        <f t="shared" si="155"/>
        <v>00</v>
      </c>
      <c r="J1117" t="str">
        <f t="shared" si="156"/>
        <v>82</v>
      </c>
      <c r="K1117" t="str">
        <f t="shared" si="157"/>
        <v>7F</v>
      </c>
      <c r="L1117">
        <f t="shared" si="158"/>
        <v>0</v>
      </c>
      <c r="M1117">
        <f t="shared" si="159"/>
        <v>130</v>
      </c>
      <c r="N1117">
        <f t="shared" si="160"/>
        <v>127</v>
      </c>
      <c r="P1117" t="str">
        <f t="shared" si="161"/>
        <v>.TealGreen-bg{background-color:#00827F;}</v>
      </c>
    </row>
    <row r="1118" spans="2:16" ht="15.75">
      <c r="B1118" s="1" t="s">
        <v>2315</v>
      </c>
      <c r="C1118" t="s">
        <v>2316</v>
      </c>
      <c r="D1118">
        <v>20655</v>
      </c>
      <c r="E1118">
        <v>5100</v>
      </c>
      <c r="F1118">
        <v>20655</v>
      </c>
      <c r="G1118" t="str">
        <f t="shared" si="153"/>
        <v>Telemagenta</v>
      </c>
      <c r="H1118" t="str">
        <f t="shared" si="154"/>
        <v>CF3476</v>
      </c>
      <c r="I1118" t="str">
        <f t="shared" si="155"/>
        <v>CF</v>
      </c>
      <c r="J1118" t="str">
        <f t="shared" si="156"/>
        <v>34</v>
      </c>
      <c r="K1118" t="str">
        <f t="shared" si="157"/>
        <v>76</v>
      </c>
      <c r="L1118">
        <f t="shared" si="158"/>
        <v>207</v>
      </c>
      <c r="M1118">
        <f t="shared" si="159"/>
        <v>52</v>
      </c>
      <c r="N1118">
        <f t="shared" si="160"/>
        <v>118</v>
      </c>
      <c r="P1118" t="str">
        <f t="shared" si="161"/>
        <v>.Telemagenta-bg{background-color:#CF3476;}</v>
      </c>
    </row>
    <row r="1119" spans="2:16" ht="15.75">
      <c r="B1119" s="1" t="s">
        <v>2317</v>
      </c>
      <c r="C1119" t="s">
        <v>2318</v>
      </c>
      <c r="D1119">
        <v>20400</v>
      </c>
      <c r="E1119">
        <v>8670</v>
      </c>
      <c r="F1119">
        <v>20400</v>
      </c>
      <c r="G1119" t="str">
        <f t="shared" si="153"/>
        <v>Tenn</v>
      </c>
      <c r="H1119" t="str">
        <f t="shared" si="154"/>
        <v>CD5700</v>
      </c>
      <c r="I1119" t="str">
        <f t="shared" si="155"/>
        <v>CD</v>
      </c>
      <c r="J1119" t="str">
        <f t="shared" si="156"/>
        <v>57</v>
      </c>
      <c r="K1119" t="str">
        <f t="shared" si="157"/>
        <v>00</v>
      </c>
      <c r="L1119">
        <f t="shared" si="158"/>
        <v>205</v>
      </c>
      <c r="M1119">
        <f t="shared" si="159"/>
        <v>87</v>
      </c>
      <c r="N1119">
        <f t="shared" si="160"/>
        <v>0</v>
      </c>
      <c r="P1119" t="str">
        <f t="shared" si="161"/>
        <v>.Tenn-bg{background-color:#CD5700;}</v>
      </c>
    </row>
    <row r="1120" spans="2:16" ht="15.75">
      <c r="B1120" s="1" t="s">
        <v>2319</v>
      </c>
      <c r="C1120" t="s">
        <v>2320</v>
      </c>
      <c r="D1120">
        <v>22695</v>
      </c>
      <c r="E1120">
        <v>11475</v>
      </c>
      <c r="F1120">
        <v>22695</v>
      </c>
      <c r="G1120" t="str">
        <f t="shared" si="153"/>
        <v>TerraCotta</v>
      </c>
      <c r="H1120" t="str">
        <f t="shared" si="154"/>
        <v>E2725B</v>
      </c>
      <c r="I1120" t="str">
        <f t="shared" si="155"/>
        <v>E2</v>
      </c>
      <c r="J1120" t="str">
        <f t="shared" si="156"/>
        <v>72</v>
      </c>
      <c r="K1120" t="str">
        <f t="shared" si="157"/>
        <v>5B</v>
      </c>
      <c r="L1120">
        <f t="shared" si="158"/>
        <v>226</v>
      </c>
      <c r="M1120">
        <f t="shared" si="159"/>
        <v>114</v>
      </c>
      <c r="N1120">
        <f t="shared" si="160"/>
        <v>91</v>
      </c>
      <c r="P1120" t="str">
        <f t="shared" si="161"/>
        <v>.TerraCotta-bg{background-color:#E2725B;}</v>
      </c>
    </row>
    <row r="1121" spans="2:16" ht="15.75">
      <c r="B1121" s="1" t="s">
        <v>2321</v>
      </c>
      <c r="C1121" t="s">
        <v>2322</v>
      </c>
      <c r="D1121">
        <v>21675</v>
      </c>
      <c r="E1121">
        <v>19125</v>
      </c>
      <c r="F1121">
        <v>21675</v>
      </c>
      <c r="G1121" t="str">
        <f t="shared" si="153"/>
        <v>Thistle</v>
      </c>
      <c r="H1121" t="str">
        <f t="shared" si="154"/>
        <v>D8BFD8</v>
      </c>
      <c r="I1121" t="str">
        <f t="shared" si="155"/>
        <v>D8</v>
      </c>
      <c r="J1121" t="str">
        <f t="shared" si="156"/>
        <v>BF</v>
      </c>
      <c r="K1121" t="str">
        <f t="shared" si="157"/>
        <v>D8</v>
      </c>
      <c r="L1121">
        <f t="shared" si="158"/>
        <v>216</v>
      </c>
      <c r="M1121">
        <f t="shared" si="159"/>
        <v>191</v>
      </c>
      <c r="N1121">
        <f t="shared" si="160"/>
        <v>216</v>
      </c>
      <c r="P1121" t="str">
        <f t="shared" si="161"/>
        <v>.Thistle-bg{background-color:#D8BFD8;}</v>
      </c>
    </row>
    <row r="1122" spans="2:16" ht="15.75">
      <c r="B1122" s="1" t="s">
        <v>2323</v>
      </c>
      <c r="C1122" t="s">
        <v>622</v>
      </c>
      <c r="D1122">
        <v>22185</v>
      </c>
      <c r="E1122">
        <v>11220</v>
      </c>
      <c r="F1122">
        <v>22185</v>
      </c>
      <c r="G1122" t="str">
        <f t="shared" si="153"/>
        <v>ThulianPink</v>
      </c>
      <c r="H1122" t="str">
        <f t="shared" si="154"/>
        <v>DE6FA1</v>
      </c>
      <c r="I1122" t="str">
        <f t="shared" si="155"/>
        <v>DE</v>
      </c>
      <c r="J1122" t="str">
        <f t="shared" si="156"/>
        <v>6F</v>
      </c>
      <c r="K1122" t="str">
        <f t="shared" si="157"/>
        <v>A1</v>
      </c>
      <c r="L1122">
        <f t="shared" si="158"/>
        <v>222</v>
      </c>
      <c r="M1122">
        <f t="shared" si="159"/>
        <v>111</v>
      </c>
      <c r="N1122">
        <f t="shared" si="160"/>
        <v>161</v>
      </c>
      <c r="P1122" t="str">
        <f t="shared" si="161"/>
        <v>.ThulianPink-bg{background-color:#DE6FA1;}</v>
      </c>
    </row>
    <row r="1123" spans="2:16" ht="15.75">
      <c r="B1123" s="1" t="s">
        <v>2324</v>
      </c>
      <c r="C1123" t="s">
        <v>2325</v>
      </c>
      <c r="D1123">
        <v>25245</v>
      </c>
      <c r="E1123">
        <v>13770</v>
      </c>
      <c r="F1123">
        <v>25245</v>
      </c>
      <c r="G1123" t="str">
        <f t="shared" si="153"/>
        <v>TickleMePink</v>
      </c>
      <c r="H1123" t="str">
        <f t="shared" si="154"/>
        <v>FC89AC</v>
      </c>
      <c r="I1123" t="str">
        <f t="shared" si="155"/>
        <v>FC</v>
      </c>
      <c r="J1123" t="str">
        <f t="shared" si="156"/>
        <v>89</v>
      </c>
      <c r="K1123" t="str">
        <f t="shared" si="157"/>
        <v>AC</v>
      </c>
      <c r="L1123">
        <f t="shared" si="158"/>
        <v>252</v>
      </c>
      <c r="M1123">
        <f t="shared" si="159"/>
        <v>137</v>
      </c>
      <c r="N1123">
        <f t="shared" si="160"/>
        <v>172</v>
      </c>
      <c r="P1123" t="str">
        <f t="shared" si="161"/>
        <v>.TickleMePink-bg{background-color:#FC89AC;}</v>
      </c>
    </row>
    <row r="1124" spans="2:16" ht="15.75">
      <c r="B1124" s="1" t="s">
        <v>2326</v>
      </c>
      <c r="C1124" t="s">
        <v>2327</v>
      </c>
      <c r="D1124">
        <v>1020</v>
      </c>
      <c r="E1124">
        <v>18615</v>
      </c>
      <c r="F1124">
        <v>1020</v>
      </c>
      <c r="G1124" t="str">
        <f t="shared" si="153"/>
        <v>TiffanyBlue</v>
      </c>
      <c r="H1124" t="str">
        <f t="shared" si="154"/>
        <v>0ABAB5</v>
      </c>
      <c r="I1124" t="str">
        <f t="shared" si="155"/>
        <v>0A</v>
      </c>
      <c r="J1124" t="str">
        <f t="shared" si="156"/>
        <v>BA</v>
      </c>
      <c r="K1124" t="str">
        <f t="shared" si="157"/>
        <v>B5</v>
      </c>
      <c r="L1124">
        <f t="shared" si="158"/>
        <v>10</v>
      </c>
      <c r="M1124">
        <f t="shared" si="159"/>
        <v>186</v>
      </c>
      <c r="N1124">
        <f t="shared" si="160"/>
        <v>181</v>
      </c>
      <c r="P1124" t="str">
        <f t="shared" si="161"/>
        <v>.TiffanyBlue-bg{background-color:#0ABAB5;}</v>
      </c>
    </row>
    <row r="1125" spans="2:16" ht="15.75">
      <c r="B1125" s="1" t="s">
        <v>2328</v>
      </c>
      <c r="C1125" t="s">
        <v>2329</v>
      </c>
      <c r="D1125">
        <v>22440</v>
      </c>
      <c r="E1125">
        <v>14025</v>
      </c>
      <c r="F1125">
        <v>22440</v>
      </c>
      <c r="G1125" t="str">
        <f t="shared" si="153"/>
        <v>TigersEye</v>
      </c>
      <c r="H1125" t="str">
        <f t="shared" si="154"/>
        <v>E08D3C</v>
      </c>
      <c r="I1125" t="str">
        <f t="shared" si="155"/>
        <v>E0</v>
      </c>
      <c r="J1125" t="str">
        <f t="shared" si="156"/>
        <v>8D</v>
      </c>
      <c r="K1125" t="str">
        <f t="shared" si="157"/>
        <v>3C</v>
      </c>
      <c r="L1125">
        <f t="shared" si="158"/>
        <v>224</v>
      </c>
      <c r="M1125">
        <f t="shared" si="159"/>
        <v>141</v>
      </c>
      <c r="N1125">
        <f t="shared" si="160"/>
        <v>60</v>
      </c>
      <c r="P1125" t="str">
        <f t="shared" si="161"/>
        <v>.TigersEye-bg{background-color:#E08D3C;}</v>
      </c>
    </row>
    <row r="1126" spans="2:16" ht="15.75">
      <c r="B1126" s="1" t="s">
        <v>2330</v>
      </c>
      <c r="C1126" t="s">
        <v>2331</v>
      </c>
      <c r="D1126">
        <v>21930</v>
      </c>
      <c r="E1126">
        <v>21420</v>
      </c>
      <c r="F1126">
        <v>21930</v>
      </c>
      <c r="G1126" t="str">
        <f t="shared" si="153"/>
        <v>Timberwolf</v>
      </c>
      <c r="H1126" t="str">
        <f t="shared" si="154"/>
        <v>DBD7D2</v>
      </c>
      <c r="I1126" t="str">
        <f t="shared" si="155"/>
        <v>DB</v>
      </c>
      <c r="J1126" t="str">
        <f t="shared" si="156"/>
        <v>D7</v>
      </c>
      <c r="K1126" t="str">
        <f t="shared" si="157"/>
        <v>D2</v>
      </c>
      <c r="L1126">
        <f t="shared" si="158"/>
        <v>219</v>
      </c>
      <c r="M1126">
        <f t="shared" si="159"/>
        <v>215</v>
      </c>
      <c r="N1126">
        <f t="shared" si="160"/>
        <v>210</v>
      </c>
      <c r="P1126" t="str">
        <f t="shared" si="161"/>
        <v>.Timberwolf-bg{background-color:#DBD7D2;}</v>
      </c>
    </row>
    <row r="1127" spans="2:16" ht="15.75">
      <c r="B1127" s="1" t="s">
        <v>2332</v>
      </c>
      <c r="C1127" t="s">
        <v>2333</v>
      </c>
      <c r="D1127">
        <v>23715</v>
      </c>
      <c r="E1127">
        <v>22950</v>
      </c>
      <c r="F1127">
        <v>23715</v>
      </c>
      <c r="G1127" t="str">
        <f t="shared" si="153"/>
        <v>TitaniumYellow</v>
      </c>
      <c r="H1127" t="str">
        <f t="shared" si="154"/>
        <v>EEE600</v>
      </c>
      <c r="I1127" t="str">
        <f t="shared" si="155"/>
        <v>EE</v>
      </c>
      <c r="J1127" t="str">
        <f t="shared" si="156"/>
        <v>E6</v>
      </c>
      <c r="K1127" t="str">
        <f t="shared" si="157"/>
        <v>00</v>
      </c>
      <c r="L1127">
        <f t="shared" si="158"/>
        <v>238</v>
      </c>
      <c r="M1127">
        <f t="shared" si="159"/>
        <v>230</v>
      </c>
      <c r="N1127">
        <f t="shared" si="160"/>
        <v>0</v>
      </c>
      <c r="P1127" t="str">
        <f t="shared" si="161"/>
        <v>.TitaniumYellow-bg{background-color:#EEE600;}</v>
      </c>
    </row>
    <row r="1128" spans="2:16" ht="15.75">
      <c r="B1128" s="1" t="s">
        <v>2334</v>
      </c>
      <c r="C1128" t="s">
        <v>2335</v>
      </c>
      <c r="D1128">
        <v>25500</v>
      </c>
      <c r="E1128">
        <v>9945</v>
      </c>
      <c r="F1128">
        <v>25500</v>
      </c>
      <c r="G1128" t="str">
        <f t="shared" si="153"/>
        <v>Tomato</v>
      </c>
      <c r="H1128" t="str">
        <f t="shared" si="154"/>
        <v>FF6347</v>
      </c>
      <c r="I1128" t="str">
        <f t="shared" si="155"/>
        <v>FF</v>
      </c>
      <c r="J1128" t="str">
        <f t="shared" si="156"/>
        <v>63</v>
      </c>
      <c r="K1128" t="str">
        <f t="shared" si="157"/>
        <v>47</v>
      </c>
      <c r="L1128">
        <f t="shared" si="158"/>
        <v>255</v>
      </c>
      <c r="M1128">
        <f t="shared" si="159"/>
        <v>99</v>
      </c>
      <c r="N1128">
        <f t="shared" si="160"/>
        <v>71</v>
      </c>
      <c r="P1128" t="str">
        <f t="shared" si="161"/>
        <v>.Tomato-bg{background-color:#FF6347;}</v>
      </c>
    </row>
    <row r="1129" spans="2:16" ht="15.75">
      <c r="B1129" s="1" t="s">
        <v>2336</v>
      </c>
      <c r="C1129" t="s">
        <v>2337</v>
      </c>
      <c r="D1129">
        <v>11475</v>
      </c>
      <c r="E1129">
        <v>10710</v>
      </c>
      <c r="F1129">
        <v>11475</v>
      </c>
      <c r="G1129" t="str">
        <f t="shared" si="153"/>
        <v>Toolbox</v>
      </c>
      <c r="H1129" t="str">
        <f t="shared" si="154"/>
        <v>746CC0</v>
      </c>
      <c r="I1129" t="str">
        <f t="shared" si="155"/>
        <v>74</v>
      </c>
      <c r="J1129" t="str">
        <f t="shared" si="156"/>
        <v>6C</v>
      </c>
      <c r="K1129" t="str">
        <f t="shared" si="157"/>
        <v>C0</v>
      </c>
      <c r="L1129">
        <f t="shared" si="158"/>
        <v>116</v>
      </c>
      <c r="M1129">
        <f t="shared" si="159"/>
        <v>108</v>
      </c>
      <c r="N1129">
        <f t="shared" si="160"/>
        <v>192</v>
      </c>
      <c r="P1129" t="str">
        <f t="shared" si="161"/>
        <v>.Toolbox-bg{background-color:#746CC0;}</v>
      </c>
    </row>
    <row r="1130" spans="2:16" ht="15.75">
      <c r="B1130" s="1" t="s">
        <v>2338</v>
      </c>
      <c r="C1130" t="s">
        <v>2339</v>
      </c>
      <c r="D1130">
        <v>25500</v>
      </c>
      <c r="E1130">
        <v>19890</v>
      </c>
      <c r="F1130">
        <v>25500</v>
      </c>
      <c r="G1130" t="str">
        <f t="shared" si="153"/>
        <v>Topaz</v>
      </c>
      <c r="H1130" t="str">
        <f t="shared" si="154"/>
        <v>FFC87C</v>
      </c>
      <c r="I1130" t="str">
        <f t="shared" si="155"/>
        <v>FF</v>
      </c>
      <c r="J1130" t="str">
        <f t="shared" si="156"/>
        <v>C8</v>
      </c>
      <c r="K1130" t="str">
        <f t="shared" si="157"/>
        <v>7C</v>
      </c>
      <c r="L1130">
        <f t="shared" si="158"/>
        <v>255</v>
      </c>
      <c r="M1130">
        <f t="shared" si="159"/>
        <v>200</v>
      </c>
      <c r="N1130">
        <f t="shared" si="160"/>
        <v>124</v>
      </c>
      <c r="P1130" t="str">
        <f t="shared" si="161"/>
        <v>.Topaz-bg{background-color:#FFC87C;}</v>
      </c>
    </row>
    <row r="1131" spans="2:16" ht="15.75">
      <c r="B1131" s="1" t="s">
        <v>2340</v>
      </c>
      <c r="C1131" t="s">
        <v>2133</v>
      </c>
      <c r="D1131">
        <v>25245</v>
      </c>
      <c r="E1131">
        <v>1275</v>
      </c>
      <c r="F1131">
        <v>25245</v>
      </c>
      <c r="G1131" t="str">
        <f t="shared" si="153"/>
        <v>TractorRed</v>
      </c>
      <c r="H1131" t="str">
        <f t="shared" si="154"/>
        <v>FD0E35</v>
      </c>
      <c r="I1131" t="str">
        <f t="shared" si="155"/>
        <v>FD</v>
      </c>
      <c r="J1131" t="str">
        <f t="shared" si="156"/>
        <v>0E</v>
      </c>
      <c r="K1131" t="str">
        <f t="shared" si="157"/>
        <v>35</v>
      </c>
      <c r="L1131">
        <f t="shared" si="158"/>
        <v>253</v>
      </c>
      <c r="M1131">
        <f t="shared" si="159"/>
        <v>14</v>
      </c>
      <c r="N1131">
        <f t="shared" si="160"/>
        <v>53</v>
      </c>
      <c r="P1131" t="str">
        <f t="shared" si="161"/>
        <v>.TractorRed-bg{background-color:#FD0E35;}</v>
      </c>
    </row>
    <row r="1132" spans="2:16" ht="15.75">
      <c r="B1132" s="1" t="s">
        <v>2341</v>
      </c>
      <c r="C1132" t="s">
        <v>1136</v>
      </c>
      <c r="D1132">
        <v>12750</v>
      </c>
      <c r="E1132">
        <v>12750</v>
      </c>
      <c r="F1132">
        <v>12750</v>
      </c>
      <c r="G1132" t="str">
        <f t="shared" si="153"/>
        <v>TrolleyGrey</v>
      </c>
      <c r="H1132" t="str">
        <f t="shared" si="154"/>
        <v>808080</v>
      </c>
      <c r="I1132" t="str">
        <f t="shared" si="155"/>
        <v>80</v>
      </c>
      <c r="J1132" t="str">
        <f t="shared" si="156"/>
        <v>80</v>
      </c>
      <c r="K1132" t="str">
        <f t="shared" si="157"/>
        <v>80</v>
      </c>
      <c r="L1132">
        <f t="shared" si="158"/>
        <v>128</v>
      </c>
      <c r="M1132">
        <f t="shared" si="159"/>
        <v>128</v>
      </c>
      <c r="N1132">
        <f t="shared" si="160"/>
        <v>128</v>
      </c>
      <c r="P1132" t="str">
        <f t="shared" si="161"/>
        <v>.TrolleyGrey-bg{background-color:#808080;}</v>
      </c>
    </row>
    <row r="1133" spans="2:16" ht="15.75">
      <c r="B1133" s="1" t="s">
        <v>2342</v>
      </c>
      <c r="C1133" t="s">
        <v>2343</v>
      </c>
      <c r="D1133">
        <v>0</v>
      </c>
      <c r="E1133">
        <v>11730</v>
      </c>
      <c r="F1133">
        <v>0</v>
      </c>
      <c r="G1133" t="str">
        <f t="shared" si="153"/>
        <v>TropicalRainForest</v>
      </c>
      <c r="H1133" t="str">
        <f t="shared" si="154"/>
        <v>00755E</v>
      </c>
      <c r="I1133" t="str">
        <f t="shared" si="155"/>
        <v>00</v>
      </c>
      <c r="J1133" t="str">
        <f t="shared" si="156"/>
        <v>75</v>
      </c>
      <c r="K1133" t="str">
        <f t="shared" si="157"/>
        <v>5E</v>
      </c>
      <c r="L1133">
        <f t="shared" si="158"/>
        <v>0</v>
      </c>
      <c r="M1133">
        <f t="shared" si="159"/>
        <v>117</v>
      </c>
      <c r="N1133">
        <f t="shared" si="160"/>
        <v>94</v>
      </c>
      <c r="P1133" t="str">
        <f t="shared" si="161"/>
        <v>.TropicalRainForest-bg{background-color:#00755E;}</v>
      </c>
    </row>
    <row r="1134" spans="2:16" ht="15.75">
      <c r="B1134" s="1" t="s">
        <v>2344</v>
      </c>
      <c r="C1134" t="s">
        <v>2345</v>
      </c>
      <c r="D1134">
        <v>20400</v>
      </c>
      <c r="E1134">
        <v>16320</v>
      </c>
      <c r="F1134">
        <v>20400</v>
      </c>
      <c r="G1134" t="str">
        <f t="shared" si="153"/>
        <v>TropicalViolet</v>
      </c>
      <c r="H1134" t="str">
        <f t="shared" si="154"/>
        <v>CDA4DE</v>
      </c>
      <c r="I1134" t="str">
        <f t="shared" si="155"/>
        <v>CD</v>
      </c>
      <c r="J1134" t="str">
        <f t="shared" si="156"/>
        <v>A4</v>
      </c>
      <c r="K1134" t="str">
        <f t="shared" si="157"/>
        <v>DE</v>
      </c>
      <c r="L1134">
        <f t="shared" si="158"/>
        <v>205</v>
      </c>
      <c r="M1134">
        <f t="shared" si="159"/>
        <v>164</v>
      </c>
      <c r="N1134">
        <f t="shared" si="160"/>
        <v>222</v>
      </c>
      <c r="P1134" t="str">
        <f t="shared" si="161"/>
        <v>.TropicalViolet-bg{background-color:#CDA4DE;}</v>
      </c>
    </row>
    <row r="1135" spans="2:16" ht="15.75">
      <c r="B1135" s="1" t="s">
        <v>2346</v>
      </c>
      <c r="C1135" t="s">
        <v>2347</v>
      </c>
      <c r="D1135">
        <v>0</v>
      </c>
      <c r="E1135">
        <v>11475</v>
      </c>
      <c r="F1135">
        <v>0</v>
      </c>
      <c r="G1135" t="str">
        <f t="shared" si="153"/>
        <v>TrueBlue</v>
      </c>
      <c r="H1135" t="str">
        <f t="shared" si="154"/>
        <v>0073CF</v>
      </c>
      <c r="I1135" t="str">
        <f t="shared" si="155"/>
        <v>00</v>
      </c>
      <c r="J1135" t="str">
        <f t="shared" si="156"/>
        <v>73</v>
      </c>
      <c r="K1135" t="str">
        <f t="shared" si="157"/>
        <v>CF</v>
      </c>
      <c r="L1135">
        <f t="shared" si="158"/>
        <v>0</v>
      </c>
      <c r="M1135">
        <f t="shared" si="159"/>
        <v>115</v>
      </c>
      <c r="N1135">
        <f t="shared" si="160"/>
        <v>207</v>
      </c>
      <c r="P1135" t="str">
        <f t="shared" si="161"/>
        <v>.TrueBlue-bg{background-color:#0073CF;}</v>
      </c>
    </row>
    <row r="1136" spans="2:16" ht="15.75">
      <c r="B1136" s="1" t="s">
        <v>2348</v>
      </c>
      <c r="C1136" t="s">
        <v>2349</v>
      </c>
      <c r="D1136">
        <v>6375</v>
      </c>
      <c r="E1136">
        <v>12495</v>
      </c>
      <c r="F1136">
        <v>6375</v>
      </c>
      <c r="G1136" t="str">
        <f t="shared" si="153"/>
        <v>TuftsBlue</v>
      </c>
      <c r="H1136" t="str">
        <f t="shared" si="154"/>
        <v>417DC1</v>
      </c>
      <c r="I1136" t="str">
        <f t="shared" si="155"/>
        <v>41</v>
      </c>
      <c r="J1136" t="str">
        <f t="shared" si="156"/>
        <v>7D</v>
      </c>
      <c r="K1136" t="str">
        <f t="shared" si="157"/>
        <v>C1</v>
      </c>
      <c r="L1136">
        <f t="shared" si="158"/>
        <v>65</v>
      </c>
      <c r="M1136">
        <f t="shared" si="159"/>
        <v>125</v>
      </c>
      <c r="N1136">
        <f t="shared" si="160"/>
        <v>193</v>
      </c>
      <c r="P1136" t="str">
        <f t="shared" si="161"/>
        <v>.TuftsBlue-bg{background-color:#417DC1;}</v>
      </c>
    </row>
    <row r="1137" spans="2:16" ht="15.75">
      <c r="B1137" s="1" t="s">
        <v>2350</v>
      </c>
      <c r="C1137" t="s">
        <v>2351</v>
      </c>
      <c r="D1137">
        <v>25500</v>
      </c>
      <c r="E1137">
        <v>13515</v>
      </c>
      <c r="F1137">
        <v>25500</v>
      </c>
      <c r="G1137" t="str">
        <f t="shared" si="153"/>
        <v>Tulip</v>
      </c>
      <c r="H1137" t="str">
        <f t="shared" si="154"/>
        <v>FF878D</v>
      </c>
      <c r="I1137" t="str">
        <f t="shared" si="155"/>
        <v>FF</v>
      </c>
      <c r="J1137" t="str">
        <f t="shared" si="156"/>
        <v>87</v>
      </c>
      <c r="K1137" t="str">
        <f t="shared" si="157"/>
        <v>8D</v>
      </c>
      <c r="L1137">
        <f t="shared" si="158"/>
        <v>255</v>
      </c>
      <c r="M1137">
        <f t="shared" si="159"/>
        <v>135</v>
      </c>
      <c r="N1137">
        <f t="shared" si="160"/>
        <v>141</v>
      </c>
      <c r="P1137" t="str">
        <f t="shared" si="161"/>
        <v>.Tulip-bg{background-color:#FF878D;}</v>
      </c>
    </row>
    <row r="1138" spans="2:16" ht="15.75">
      <c r="B1138" s="1" t="s">
        <v>2352</v>
      </c>
      <c r="C1138" t="s">
        <v>2353</v>
      </c>
      <c r="D1138">
        <v>22185</v>
      </c>
      <c r="E1138">
        <v>17085</v>
      </c>
      <c r="F1138">
        <v>22185</v>
      </c>
      <c r="G1138" t="str">
        <f t="shared" si="153"/>
        <v>Tumbleweed</v>
      </c>
      <c r="H1138" t="str">
        <f t="shared" si="154"/>
        <v>DEAA88</v>
      </c>
      <c r="I1138" t="str">
        <f t="shared" si="155"/>
        <v>DE</v>
      </c>
      <c r="J1138" t="str">
        <f t="shared" si="156"/>
        <v>AA</v>
      </c>
      <c r="K1138" t="str">
        <f t="shared" si="157"/>
        <v>88</v>
      </c>
      <c r="L1138">
        <f t="shared" si="158"/>
        <v>222</v>
      </c>
      <c r="M1138">
        <f t="shared" si="159"/>
        <v>170</v>
      </c>
      <c r="N1138">
        <f t="shared" si="160"/>
        <v>136</v>
      </c>
      <c r="P1138" t="str">
        <f t="shared" si="161"/>
        <v>.Tumbleweed-bg{background-color:#DEAA88;}</v>
      </c>
    </row>
    <row r="1139" spans="2:16" ht="15.75">
      <c r="B1139" s="1" t="s">
        <v>2354</v>
      </c>
      <c r="C1139" t="s">
        <v>2355</v>
      </c>
      <c r="D1139">
        <v>18105</v>
      </c>
      <c r="E1139">
        <v>11475</v>
      </c>
      <c r="F1139">
        <v>18105</v>
      </c>
      <c r="G1139" t="str">
        <f t="shared" si="153"/>
        <v>TurkishRose</v>
      </c>
      <c r="H1139" t="str">
        <f t="shared" si="154"/>
        <v>B57281</v>
      </c>
      <c r="I1139" t="str">
        <f t="shared" si="155"/>
        <v>B5</v>
      </c>
      <c r="J1139" t="str">
        <f t="shared" si="156"/>
        <v>72</v>
      </c>
      <c r="K1139" t="str">
        <f t="shared" si="157"/>
        <v>81</v>
      </c>
      <c r="L1139">
        <f t="shared" si="158"/>
        <v>181</v>
      </c>
      <c r="M1139">
        <f t="shared" si="159"/>
        <v>114</v>
      </c>
      <c r="N1139">
        <f t="shared" si="160"/>
        <v>129</v>
      </c>
      <c r="P1139" t="str">
        <f t="shared" si="161"/>
        <v>.TurkishRose-bg{background-color:#B57281;}</v>
      </c>
    </row>
    <row r="1140" spans="2:16" ht="15.75">
      <c r="B1140" s="1" t="s">
        <v>2356</v>
      </c>
      <c r="C1140" t="s">
        <v>2357</v>
      </c>
      <c r="D1140">
        <v>6375</v>
      </c>
      <c r="E1140">
        <v>22440</v>
      </c>
      <c r="F1140">
        <v>6375</v>
      </c>
      <c r="G1140" t="str">
        <f t="shared" si="153"/>
        <v>Turquoise</v>
      </c>
      <c r="H1140" t="str">
        <f t="shared" si="154"/>
        <v>40E0D0</v>
      </c>
      <c r="I1140" t="str">
        <f t="shared" si="155"/>
        <v>40</v>
      </c>
      <c r="J1140" t="str">
        <f t="shared" si="156"/>
        <v>E0</v>
      </c>
      <c r="K1140" t="str">
        <f t="shared" si="157"/>
        <v>D0</v>
      </c>
      <c r="L1140">
        <f t="shared" si="158"/>
        <v>64</v>
      </c>
      <c r="M1140">
        <f t="shared" si="159"/>
        <v>224</v>
      </c>
      <c r="N1140">
        <f t="shared" si="160"/>
        <v>208</v>
      </c>
      <c r="P1140" t="str">
        <f t="shared" si="161"/>
        <v>.Turquoise-bg{background-color:#40E0D0;}</v>
      </c>
    </row>
    <row r="1141" spans="2:16" ht="15.75">
      <c r="B1141" s="1" t="s">
        <v>2358</v>
      </c>
      <c r="C1141" t="s">
        <v>2359</v>
      </c>
      <c r="D1141">
        <v>0</v>
      </c>
      <c r="E1141">
        <v>25500</v>
      </c>
      <c r="F1141">
        <v>0</v>
      </c>
      <c r="G1141" t="str">
        <f t="shared" si="153"/>
        <v>TurquoiseBlue</v>
      </c>
      <c r="H1141" t="str">
        <f t="shared" si="154"/>
        <v>00FFEF</v>
      </c>
      <c r="I1141" t="str">
        <f t="shared" si="155"/>
        <v>00</v>
      </c>
      <c r="J1141" t="str">
        <f t="shared" si="156"/>
        <v>FF</v>
      </c>
      <c r="K1141" t="str">
        <f t="shared" si="157"/>
        <v>EF</v>
      </c>
      <c r="L1141">
        <f t="shared" si="158"/>
        <v>0</v>
      </c>
      <c r="M1141">
        <f t="shared" si="159"/>
        <v>255</v>
      </c>
      <c r="N1141">
        <f t="shared" si="160"/>
        <v>239</v>
      </c>
      <c r="P1141" t="str">
        <f t="shared" si="161"/>
        <v>.TurquoiseBlue-bg{background-color:#00FFEF;}</v>
      </c>
    </row>
    <row r="1142" spans="2:16" ht="15.75">
      <c r="B1142" s="1" t="s">
        <v>2360</v>
      </c>
      <c r="C1142" t="s">
        <v>2361</v>
      </c>
      <c r="D1142">
        <v>16065</v>
      </c>
      <c r="E1142">
        <v>21420</v>
      </c>
      <c r="F1142">
        <v>16065</v>
      </c>
      <c r="G1142" t="str">
        <f t="shared" si="153"/>
        <v>TurquoiseGreen</v>
      </c>
      <c r="H1142" t="str">
        <f t="shared" si="154"/>
        <v>A0D6B4</v>
      </c>
      <c r="I1142" t="str">
        <f t="shared" si="155"/>
        <v>A0</v>
      </c>
      <c r="J1142" t="str">
        <f t="shared" si="156"/>
        <v>D6</v>
      </c>
      <c r="K1142" t="str">
        <f t="shared" si="157"/>
        <v>B4</v>
      </c>
      <c r="L1142">
        <f t="shared" si="158"/>
        <v>160</v>
      </c>
      <c r="M1142">
        <f t="shared" si="159"/>
        <v>214</v>
      </c>
      <c r="N1142">
        <f t="shared" si="160"/>
        <v>180</v>
      </c>
      <c r="P1142" t="str">
        <f t="shared" si="161"/>
        <v>.TurquoiseGreen-bg{background-color:#A0D6B4;}</v>
      </c>
    </row>
    <row r="1143" spans="2:16" ht="15.75">
      <c r="B1143" s="1" t="s">
        <v>2362</v>
      </c>
      <c r="C1143" t="s">
        <v>1603</v>
      </c>
      <c r="D1143">
        <v>13770</v>
      </c>
      <c r="E1143">
        <v>15300</v>
      </c>
      <c r="F1143">
        <v>13770</v>
      </c>
      <c r="G1143" t="str">
        <f t="shared" si="153"/>
        <v>TurtleGreen</v>
      </c>
      <c r="H1143" t="str">
        <f t="shared" si="154"/>
        <v>8A9A5B</v>
      </c>
      <c r="I1143" t="str">
        <f t="shared" si="155"/>
        <v>8A</v>
      </c>
      <c r="J1143" t="str">
        <f t="shared" si="156"/>
        <v>9A</v>
      </c>
      <c r="K1143" t="str">
        <f t="shared" si="157"/>
        <v>5B</v>
      </c>
      <c r="L1143">
        <f t="shared" si="158"/>
        <v>138</v>
      </c>
      <c r="M1143">
        <f t="shared" si="159"/>
        <v>154</v>
      </c>
      <c r="N1143">
        <f t="shared" si="160"/>
        <v>91</v>
      </c>
      <c r="P1143" t="str">
        <f t="shared" si="161"/>
        <v>.TurtleGreen-bg{background-color:#8A9A5B;}</v>
      </c>
    </row>
    <row r="1144" spans="2:16" ht="15.75">
      <c r="B1144" s="1" t="s">
        <v>2363</v>
      </c>
      <c r="C1144" t="s">
        <v>859</v>
      </c>
      <c r="D1144">
        <v>24990</v>
      </c>
      <c r="E1144">
        <v>21420</v>
      </c>
      <c r="F1144">
        <v>24990</v>
      </c>
      <c r="G1144" t="str">
        <f t="shared" si="153"/>
        <v>Tuscan</v>
      </c>
      <c r="H1144" t="str">
        <f t="shared" si="154"/>
        <v>FAD6A5</v>
      </c>
      <c r="I1144" t="str">
        <f t="shared" si="155"/>
        <v>FA</v>
      </c>
      <c r="J1144" t="str">
        <f t="shared" si="156"/>
        <v>D6</v>
      </c>
      <c r="K1144" t="str">
        <f t="shared" si="157"/>
        <v>A5</v>
      </c>
      <c r="L1144">
        <f t="shared" si="158"/>
        <v>250</v>
      </c>
      <c r="M1144">
        <f t="shared" si="159"/>
        <v>214</v>
      </c>
      <c r="N1144">
        <f t="shared" si="160"/>
        <v>165</v>
      </c>
      <c r="P1144" t="str">
        <f t="shared" si="161"/>
        <v>.Tuscan-bg{background-color:#FAD6A5;}</v>
      </c>
    </row>
    <row r="1145" spans="2:16" ht="15.75">
      <c r="B1145" s="1" t="s">
        <v>2364</v>
      </c>
      <c r="C1145" t="s">
        <v>658</v>
      </c>
      <c r="D1145">
        <v>11220</v>
      </c>
      <c r="E1145">
        <v>7905</v>
      </c>
      <c r="F1145">
        <v>11220</v>
      </c>
      <c r="G1145" t="str">
        <f t="shared" si="153"/>
        <v>TuscanBrown</v>
      </c>
      <c r="H1145" t="str">
        <f t="shared" si="154"/>
        <v>6F4E37</v>
      </c>
      <c r="I1145" t="str">
        <f t="shared" si="155"/>
        <v>6F</v>
      </c>
      <c r="J1145" t="str">
        <f t="shared" si="156"/>
        <v>4E</v>
      </c>
      <c r="K1145" t="str">
        <f t="shared" si="157"/>
        <v>37</v>
      </c>
      <c r="L1145">
        <f t="shared" si="158"/>
        <v>111</v>
      </c>
      <c r="M1145">
        <f t="shared" si="159"/>
        <v>78</v>
      </c>
      <c r="N1145">
        <f t="shared" si="160"/>
        <v>55</v>
      </c>
      <c r="P1145" t="str">
        <f t="shared" si="161"/>
        <v>.TuscanBrown-bg{background-color:#6F4E37;}</v>
      </c>
    </row>
    <row r="1146" spans="2:16" ht="15.75">
      <c r="B1146" s="1" t="s">
        <v>2365</v>
      </c>
      <c r="C1146" t="s">
        <v>2366</v>
      </c>
      <c r="D1146">
        <v>12495</v>
      </c>
      <c r="E1146">
        <v>7140</v>
      </c>
      <c r="F1146">
        <v>12495</v>
      </c>
      <c r="G1146" t="str">
        <f t="shared" si="153"/>
        <v>TuscanRed</v>
      </c>
      <c r="H1146" t="str">
        <f t="shared" si="154"/>
        <v>7C4848</v>
      </c>
      <c r="I1146" t="str">
        <f t="shared" si="155"/>
        <v>7C</v>
      </c>
      <c r="J1146" t="str">
        <f t="shared" si="156"/>
        <v>48</v>
      </c>
      <c r="K1146" t="str">
        <f t="shared" si="157"/>
        <v>48</v>
      </c>
      <c r="L1146">
        <f t="shared" si="158"/>
        <v>124</v>
      </c>
      <c r="M1146">
        <f t="shared" si="159"/>
        <v>72</v>
      </c>
      <c r="N1146">
        <f t="shared" si="160"/>
        <v>72</v>
      </c>
      <c r="P1146" t="str">
        <f t="shared" si="161"/>
        <v>.TuscanRed-bg{background-color:#7C4848;}</v>
      </c>
    </row>
    <row r="1147" spans="2:16" ht="15.75">
      <c r="B1147" s="1" t="s">
        <v>2367</v>
      </c>
      <c r="C1147" t="s">
        <v>526</v>
      </c>
      <c r="D1147">
        <v>16575</v>
      </c>
      <c r="E1147">
        <v>12240</v>
      </c>
      <c r="F1147">
        <v>16575</v>
      </c>
      <c r="G1147" t="str">
        <f t="shared" si="153"/>
        <v>TuscanTan</v>
      </c>
      <c r="H1147" t="str">
        <f t="shared" si="154"/>
        <v>A67B5B</v>
      </c>
      <c r="I1147" t="str">
        <f t="shared" si="155"/>
        <v>A6</v>
      </c>
      <c r="J1147" t="str">
        <f t="shared" si="156"/>
        <v>7B</v>
      </c>
      <c r="K1147" t="str">
        <f t="shared" si="157"/>
        <v>5B</v>
      </c>
      <c r="L1147">
        <f t="shared" si="158"/>
        <v>166</v>
      </c>
      <c r="M1147">
        <f t="shared" si="159"/>
        <v>123</v>
      </c>
      <c r="N1147">
        <f t="shared" si="160"/>
        <v>91</v>
      </c>
      <c r="P1147" t="str">
        <f t="shared" si="161"/>
        <v>.TuscanTan-bg{background-color:#A67B5B;}</v>
      </c>
    </row>
    <row r="1148" spans="2:16" ht="15.75">
      <c r="B1148" s="1" t="s">
        <v>2368</v>
      </c>
      <c r="C1148" t="s">
        <v>2369</v>
      </c>
      <c r="D1148">
        <v>19125</v>
      </c>
      <c r="E1148">
        <v>15300</v>
      </c>
      <c r="F1148">
        <v>19125</v>
      </c>
      <c r="G1148" t="str">
        <f t="shared" si="153"/>
        <v>Tuscany</v>
      </c>
      <c r="H1148" t="str">
        <f t="shared" si="154"/>
        <v>C09999</v>
      </c>
      <c r="I1148" t="str">
        <f t="shared" si="155"/>
        <v>C0</v>
      </c>
      <c r="J1148" t="str">
        <f t="shared" si="156"/>
        <v>99</v>
      </c>
      <c r="K1148" t="str">
        <f t="shared" si="157"/>
        <v>99</v>
      </c>
      <c r="L1148">
        <f t="shared" si="158"/>
        <v>192</v>
      </c>
      <c r="M1148">
        <f t="shared" si="159"/>
        <v>153</v>
      </c>
      <c r="N1148">
        <f t="shared" si="160"/>
        <v>153</v>
      </c>
      <c r="P1148" t="str">
        <f t="shared" si="161"/>
        <v>.Tuscany-bg{background-color:#C09999;}</v>
      </c>
    </row>
    <row r="1149" spans="2:16" ht="15.75">
      <c r="B1149" s="1" t="s">
        <v>2370</v>
      </c>
      <c r="C1149" t="s">
        <v>2371</v>
      </c>
      <c r="D1149">
        <v>13770</v>
      </c>
      <c r="E1149">
        <v>7395</v>
      </c>
      <c r="F1149">
        <v>13770</v>
      </c>
      <c r="G1149" t="str">
        <f t="shared" si="153"/>
        <v>TwilightLavender</v>
      </c>
      <c r="H1149" t="str">
        <f t="shared" si="154"/>
        <v>8A496B</v>
      </c>
      <c r="I1149" t="str">
        <f t="shared" si="155"/>
        <v>8A</v>
      </c>
      <c r="J1149" t="str">
        <f t="shared" si="156"/>
        <v>49</v>
      </c>
      <c r="K1149" t="str">
        <f t="shared" si="157"/>
        <v>6B</v>
      </c>
      <c r="L1149">
        <f t="shared" si="158"/>
        <v>138</v>
      </c>
      <c r="M1149">
        <f t="shared" si="159"/>
        <v>73</v>
      </c>
      <c r="N1149">
        <f t="shared" si="160"/>
        <v>107</v>
      </c>
      <c r="P1149" t="str">
        <f t="shared" si="161"/>
        <v>.TwilightLavender-bg{background-color:#8A496B;}</v>
      </c>
    </row>
    <row r="1150" spans="2:16" ht="15.75">
      <c r="B1150" s="1" t="s">
        <v>2372</v>
      </c>
      <c r="C1150" t="s">
        <v>1223</v>
      </c>
      <c r="D1150">
        <v>10200</v>
      </c>
      <c r="E1150">
        <v>255</v>
      </c>
      <c r="F1150">
        <v>10200</v>
      </c>
      <c r="G1150" t="str">
        <f t="shared" si="153"/>
        <v>TyrianPurple</v>
      </c>
      <c r="H1150" t="str">
        <f t="shared" si="154"/>
        <v>66023C</v>
      </c>
      <c r="I1150" t="str">
        <f t="shared" si="155"/>
        <v>66</v>
      </c>
      <c r="J1150" t="str">
        <f t="shared" si="156"/>
        <v>02</v>
      </c>
      <c r="K1150" t="str">
        <f t="shared" si="157"/>
        <v>3C</v>
      </c>
      <c r="L1150">
        <f t="shared" si="158"/>
        <v>102</v>
      </c>
      <c r="M1150">
        <f t="shared" si="159"/>
        <v>2</v>
      </c>
      <c r="N1150">
        <f t="shared" si="160"/>
        <v>60</v>
      </c>
      <c r="P1150" t="str">
        <f t="shared" si="161"/>
        <v>.TyrianPurple-bg{background-color:#66023C;}</v>
      </c>
    </row>
    <row r="1151" spans="2:16" ht="15.75">
      <c r="B1151" s="1" t="s">
        <v>2373</v>
      </c>
      <c r="C1151" t="s">
        <v>2374</v>
      </c>
      <c r="D1151">
        <v>0</v>
      </c>
      <c r="E1151">
        <v>5100</v>
      </c>
      <c r="F1151">
        <v>0</v>
      </c>
      <c r="G1151" t="str">
        <f t="shared" si="153"/>
        <v>UaBlue</v>
      </c>
      <c r="H1151" t="str">
        <f t="shared" si="154"/>
        <v>0033AA</v>
      </c>
      <c r="I1151" t="str">
        <f t="shared" si="155"/>
        <v>00</v>
      </c>
      <c r="J1151" t="str">
        <f t="shared" si="156"/>
        <v>33</v>
      </c>
      <c r="K1151" t="str">
        <f t="shared" si="157"/>
        <v>AA</v>
      </c>
      <c r="L1151">
        <f t="shared" si="158"/>
        <v>0</v>
      </c>
      <c r="M1151">
        <f t="shared" si="159"/>
        <v>51</v>
      </c>
      <c r="N1151">
        <f t="shared" si="160"/>
        <v>170</v>
      </c>
      <c r="P1151" t="str">
        <f t="shared" si="161"/>
        <v>.UaBlue-bg{background-color:#0033AA;}</v>
      </c>
    </row>
    <row r="1152" spans="2:16" ht="15.75">
      <c r="B1152" s="1" t="s">
        <v>2375</v>
      </c>
      <c r="C1152" t="s">
        <v>2376</v>
      </c>
      <c r="D1152">
        <v>21675</v>
      </c>
      <c r="E1152">
        <v>0</v>
      </c>
      <c r="F1152">
        <v>21675</v>
      </c>
      <c r="G1152" t="str">
        <f t="shared" si="153"/>
        <v>UaRed</v>
      </c>
      <c r="H1152" t="str">
        <f t="shared" si="154"/>
        <v>D9004C</v>
      </c>
      <c r="I1152" t="str">
        <f t="shared" si="155"/>
        <v>D9</v>
      </c>
      <c r="J1152" t="str">
        <f t="shared" si="156"/>
        <v>00</v>
      </c>
      <c r="K1152" t="str">
        <f t="shared" si="157"/>
        <v>4C</v>
      </c>
      <c r="L1152">
        <f t="shared" si="158"/>
        <v>217</v>
      </c>
      <c r="M1152">
        <f t="shared" si="159"/>
        <v>0</v>
      </c>
      <c r="N1152">
        <f t="shared" si="160"/>
        <v>76</v>
      </c>
      <c r="P1152" t="str">
        <f t="shared" si="161"/>
        <v>.UaRed-bg{background-color:#D9004C;}</v>
      </c>
    </row>
    <row r="1153" spans="2:16" ht="15.75">
      <c r="B1153" s="1" t="s">
        <v>2377</v>
      </c>
      <c r="C1153" t="s">
        <v>2378</v>
      </c>
      <c r="D1153">
        <v>13515</v>
      </c>
      <c r="E1153">
        <v>11985</v>
      </c>
      <c r="F1153">
        <v>13515</v>
      </c>
      <c r="G1153" t="str">
        <f t="shared" si="153"/>
        <v>Ube</v>
      </c>
      <c r="H1153" t="str">
        <f t="shared" si="154"/>
        <v>8878C3</v>
      </c>
      <c r="I1153" t="str">
        <f t="shared" si="155"/>
        <v>88</v>
      </c>
      <c r="J1153" t="str">
        <f t="shared" si="156"/>
        <v>78</v>
      </c>
      <c r="K1153" t="str">
        <f t="shared" si="157"/>
        <v>C3</v>
      </c>
      <c r="L1153">
        <f t="shared" si="158"/>
        <v>136</v>
      </c>
      <c r="M1153">
        <f t="shared" si="159"/>
        <v>120</v>
      </c>
      <c r="N1153">
        <f t="shared" si="160"/>
        <v>195</v>
      </c>
      <c r="P1153" t="str">
        <f t="shared" si="161"/>
        <v>.Ube-bg{background-color:#8878C3;}</v>
      </c>
    </row>
    <row r="1154" spans="2:16" ht="15.75">
      <c r="B1154" s="1" t="s">
        <v>2379</v>
      </c>
      <c r="C1154" t="s">
        <v>2380</v>
      </c>
      <c r="D1154">
        <v>8415</v>
      </c>
      <c r="E1154">
        <v>10455</v>
      </c>
      <c r="F1154">
        <v>8415</v>
      </c>
      <c r="G1154" t="str">
        <f t="shared" si="153"/>
        <v>UclaBlue</v>
      </c>
      <c r="H1154" t="str">
        <f t="shared" si="154"/>
        <v>536895</v>
      </c>
      <c r="I1154" t="str">
        <f t="shared" si="155"/>
        <v>53</v>
      </c>
      <c r="J1154" t="str">
        <f t="shared" si="156"/>
        <v>68</v>
      </c>
      <c r="K1154" t="str">
        <f t="shared" si="157"/>
        <v>95</v>
      </c>
      <c r="L1154">
        <f t="shared" si="158"/>
        <v>83</v>
      </c>
      <c r="M1154">
        <f t="shared" si="159"/>
        <v>104</v>
      </c>
      <c r="N1154">
        <f t="shared" si="160"/>
        <v>149</v>
      </c>
      <c r="P1154" t="str">
        <f t="shared" si="161"/>
        <v>.UclaBlue-bg{background-color:#536895;}</v>
      </c>
    </row>
    <row r="1155" spans="2:16" ht="15.75">
      <c r="B1155" s="1" t="s">
        <v>2381</v>
      </c>
      <c r="C1155" t="s">
        <v>2382</v>
      </c>
      <c r="D1155">
        <v>25500</v>
      </c>
      <c r="E1155">
        <v>17850</v>
      </c>
      <c r="F1155">
        <v>25500</v>
      </c>
      <c r="G1155" t="str">
        <f t="shared" si="153"/>
        <v>UclaGold</v>
      </c>
      <c r="H1155" t="str">
        <f t="shared" si="154"/>
        <v>FFB300</v>
      </c>
      <c r="I1155" t="str">
        <f t="shared" si="155"/>
        <v>FF</v>
      </c>
      <c r="J1155" t="str">
        <f t="shared" si="156"/>
        <v>B3</v>
      </c>
      <c r="K1155" t="str">
        <f t="shared" si="157"/>
        <v>00</v>
      </c>
      <c r="L1155">
        <f t="shared" si="158"/>
        <v>255</v>
      </c>
      <c r="M1155">
        <f t="shared" si="159"/>
        <v>179</v>
      </c>
      <c r="N1155">
        <f t="shared" si="160"/>
        <v>0</v>
      </c>
      <c r="P1155" t="str">
        <f t="shared" si="161"/>
        <v>.UclaGold-bg{background-color:#FFB300;}</v>
      </c>
    </row>
    <row r="1156" spans="2:16" ht="15.75">
      <c r="B1156" s="1" t="s">
        <v>2383</v>
      </c>
      <c r="C1156" t="s">
        <v>2384</v>
      </c>
      <c r="D1156">
        <v>6120</v>
      </c>
      <c r="E1156">
        <v>20910</v>
      </c>
      <c r="F1156">
        <v>6120</v>
      </c>
      <c r="G1156" t="str">
        <f t="shared" ref="G1156:G1219" si="162">SUBSTITUTE(PROPER(AlphaNumericOnly(B1156))," ","")</f>
        <v>UfoGreen</v>
      </c>
      <c r="H1156" t="str">
        <f t="shared" ref="H1156:H1219" si="163">RIGHT(C1156,6)</f>
        <v>3CD070</v>
      </c>
      <c r="I1156" t="str">
        <f t="shared" ref="I1156:I1219" si="164">MID($H1156,1,2)</f>
        <v>3C</v>
      </c>
      <c r="J1156" t="str">
        <f t="shared" ref="J1156:J1219" si="165">MID($H1156,3,2)</f>
        <v>D0</v>
      </c>
      <c r="K1156" t="str">
        <f t="shared" ref="K1156:K1219" si="166">MID($H1156,5,2)</f>
        <v>70</v>
      </c>
      <c r="L1156">
        <f t="shared" ref="L1156:L1219" si="167">HEX2DEC(I1156)</f>
        <v>60</v>
      </c>
      <c r="M1156">
        <f t="shared" ref="M1156:M1219" si="168">HEX2DEC(J1156)</f>
        <v>208</v>
      </c>
      <c r="N1156">
        <f t="shared" ref="N1156:N1219" si="169">HEX2DEC(K1156)</f>
        <v>112</v>
      </c>
      <c r="P1156" t="str">
        <f t="shared" ref="P1156:P1219" si="170">"."&amp;G1156&amp;$P$1&amp;"{"&amp;$P$2&amp;":#"&amp;H1156&amp;";}"</f>
        <v>.UfoGreen-bg{background-color:#3CD070;}</v>
      </c>
    </row>
    <row r="1157" spans="2:16" ht="15.75">
      <c r="B1157" s="1" t="s">
        <v>2385</v>
      </c>
      <c r="C1157" t="s">
        <v>973</v>
      </c>
      <c r="D1157">
        <v>1785</v>
      </c>
      <c r="E1157">
        <v>1020</v>
      </c>
      <c r="F1157">
        <v>1785</v>
      </c>
      <c r="G1157" t="str">
        <f t="shared" si="162"/>
        <v>Ultramarine</v>
      </c>
      <c r="H1157" t="str">
        <f t="shared" si="163"/>
        <v>3F00FF</v>
      </c>
      <c r="I1157" t="str">
        <f t="shared" si="164"/>
        <v>3F</v>
      </c>
      <c r="J1157" t="str">
        <f t="shared" si="165"/>
        <v>00</v>
      </c>
      <c r="K1157" t="str">
        <f t="shared" si="166"/>
        <v>FF</v>
      </c>
      <c r="L1157">
        <f t="shared" si="167"/>
        <v>63</v>
      </c>
      <c r="M1157">
        <f t="shared" si="168"/>
        <v>0</v>
      </c>
      <c r="N1157">
        <f t="shared" si="169"/>
        <v>255</v>
      </c>
      <c r="P1157" t="str">
        <f t="shared" si="170"/>
        <v>.Ultramarine-bg{background-color:#3F00FF;}</v>
      </c>
    </row>
    <row r="1158" spans="2:16" ht="15.75">
      <c r="B1158" s="1" t="s">
        <v>2386</v>
      </c>
      <c r="C1158" t="s">
        <v>2387</v>
      </c>
      <c r="D1158">
        <v>6375</v>
      </c>
      <c r="E1158">
        <v>10200</v>
      </c>
      <c r="F1158">
        <v>6375</v>
      </c>
      <c r="G1158" t="str">
        <f t="shared" si="162"/>
        <v>UltramarineBlue</v>
      </c>
      <c r="H1158" t="str">
        <f t="shared" si="163"/>
        <v>4166F5</v>
      </c>
      <c r="I1158" t="str">
        <f t="shared" si="164"/>
        <v>41</v>
      </c>
      <c r="J1158" t="str">
        <f t="shared" si="165"/>
        <v>66</v>
      </c>
      <c r="K1158" t="str">
        <f t="shared" si="166"/>
        <v>F5</v>
      </c>
      <c r="L1158">
        <f t="shared" si="167"/>
        <v>65</v>
      </c>
      <c r="M1158">
        <f t="shared" si="168"/>
        <v>102</v>
      </c>
      <c r="N1158">
        <f t="shared" si="169"/>
        <v>245</v>
      </c>
      <c r="P1158" t="str">
        <f t="shared" si="170"/>
        <v>.UltramarineBlue-bg{background-color:#4166F5;}</v>
      </c>
    </row>
    <row r="1159" spans="2:16" ht="15.75">
      <c r="B1159" s="1" t="s">
        <v>2388</v>
      </c>
      <c r="C1159" t="s">
        <v>2170</v>
      </c>
      <c r="D1159">
        <v>25500</v>
      </c>
      <c r="E1159">
        <v>11220</v>
      </c>
      <c r="F1159">
        <v>25500</v>
      </c>
      <c r="G1159" t="str">
        <f t="shared" si="162"/>
        <v>UltraPink</v>
      </c>
      <c r="H1159" t="str">
        <f t="shared" si="163"/>
        <v>FF6FFF</v>
      </c>
      <c r="I1159" t="str">
        <f t="shared" si="164"/>
        <v>FF</v>
      </c>
      <c r="J1159" t="str">
        <f t="shared" si="165"/>
        <v>6F</v>
      </c>
      <c r="K1159" t="str">
        <f t="shared" si="166"/>
        <v>FF</v>
      </c>
      <c r="L1159">
        <f t="shared" si="167"/>
        <v>255</v>
      </c>
      <c r="M1159">
        <f t="shared" si="168"/>
        <v>111</v>
      </c>
      <c r="N1159">
        <f t="shared" si="169"/>
        <v>255</v>
      </c>
      <c r="P1159" t="str">
        <f t="shared" si="170"/>
        <v>.UltraPink-bg{background-color:#FF6FFF;}</v>
      </c>
    </row>
    <row r="1160" spans="2:16" ht="15.75">
      <c r="B1160" s="1" t="s">
        <v>2389</v>
      </c>
      <c r="C1160" t="s">
        <v>2390</v>
      </c>
      <c r="D1160">
        <v>25245</v>
      </c>
      <c r="E1160">
        <v>10710</v>
      </c>
      <c r="F1160">
        <v>25245</v>
      </c>
      <c r="G1160" t="str">
        <f t="shared" si="162"/>
        <v>UltraRed</v>
      </c>
      <c r="H1160" t="str">
        <f t="shared" si="163"/>
        <v>FC6C85</v>
      </c>
      <c r="I1160" t="str">
        <f t="shared" si="164"/>
        <v>FC</v>
      </c>
      <c r="J1160" t="str">
        <f t="shared" si="165"/>
        <v>6C</v>
      </c>
      <c r="K1160" t="str">
        <f t="shared" si="166"/>
        <v>85</v>
      </c>
      <c r="L1160">
        <f t="shared" si="167"/>
        <v>252</v>
      </c>
      <c r="M1160">
        <f t="shared" si="168"/>
        <v>108</v>
      </c>
      <c r="N1160">
        <f t="shared" si="169"/>
        <v>133</v>
      </c>
      <c r="P1160" t="str">
        <f t="shared" si="170"/>
        <v>.UltraRed-bg{background-color:#FC6C85;}</v>
      </c>
    </row>
    <row r="1161" spans="2:16" ht="15.75">
      <c r="B1161" s="1" t="s">
        <v>2391</v>
      </c>
      <c r="C1161" t="s">
        <v>2392</v>
      </c>
      <c r="D1161">
        <v>9945</v>
      </c>
      <c r="E1161">
        <v>8160</v>
      </c>
      <c r="F1161">
        <v>9945</v>
      </c>
      <c r="G1161" t="str">
        <f t="shared" si="162"/>
        <v>Umber</v>
      </c>
      <c r="H1161" t="str">
        <f t="shared" si="163"/>
        <v>635147</v>
      </c>
      <c r="I1161" t="str">
        <f t="shared" si="164"/>
        <v>63</v>
      </c>
      <c r="J1161" t="str">
        <f t="shared" si="165"/>
        <v>51</v>
      </c>
      <c r="K1161" t="str">
        <f t="shared" si="166"/>
        <v>47</v>
      </c>
      <c r="L1161">
        <f t="shared" si="167"/>
        <v>99</v>
      </c>
      <c r="M1161">
        <f t="shared" si="168"/>
        <v>81</v>
      </c>
      <c r="N1161">
        <f t="shared" si="169"/>
        <v>71</v>
      </c>
      <c r="P1161" t="str">
        <f t="shared" si="170"/>
        <v>.Umber-bg{background-color:#635147;}</v>
      </c>
    </row>
    <row r="1162" spans="2:16" ht="15.75">
      <c r="B1162" s="1" t="s">
        <v>2393</v>
      </c>
      <c r="C1162" t="s">
        <v>2394</v>
      </c>
      <c r="D1162">
        <v>25500</v>
      </c>
      <c r="E1162">
        <v>22185</v>
      </c>
      <c r="F1162">
        <v>25500</v>
      </c>
      <c r="G1162" t="str">
        <f t="shared" si="162"/>
        <v>UnbleachedSilk</v>
      </c>
      <c r="H1162" t="str">
        <f t="shared" si="163"/>
        <v>FFDDCA</v>
      </c>
      <c r="I1162" t="str">
        <f t="shared" si="164"/>
        <v>FF</v>
      </c>
      <c r="J1162" t="str">
        <f t="shared" si="165"/>
        <v>DD</v>
      </c>
      <c r="K1162" t="str">
        <f t="shared" si="166"/>
        <v>CA</v>
      </c>
      <c r="L1162">
        <f t="shared" si="167"/>
        <v>255</v>
      </c>
      <c r="M1162">
        <f t="shared" si="168"/>
        <v>221</v>
      </c>
      <c r="N1162">
        <f t="shared" si="169"/>
        <v>202</v>
      </c>
      <c r="P1162" t="str">
        <f t="shared" si="170"/>
        <v>.UnbleachedSilk-bg{background-color:#FFDDCA;}</v>
      </c>
    </row>
    <row r="1163" spans="2:16" ht="15.75">
      <c r="B1163" s="1" t="s">
        <v>2395</v>
      </c>
      <c r="C1163" t="s">
        <v>2396</v>
      </c>
      <c r="D1163">
        <v>9180</v>
      </c>
      <c r="E1163">
        <v>14535</v>
      </c>
      <c r="F1163">
        <v>9180</v>
      </c>
      <c r="G1163" t="str">
        <f t="shared" si="162"/>
        <v>UnitedNationsBlue</v>
      </c>
      <c r="H1163" t="str">
        <f t="shared" si="163"/>
        <v>5B92E5</v>
      </c>
      <c r="I1163" t="str">
        <f t="shared" si="164"/>
        <v>5B</v>
      </c>
      <c r="J1163" t="str">
        <f t="shared" si="165"/>
        <v>92</v>
      </c>
      <c r="K1163" t="str">
        <f t="shared" si="166"/>
        <v>E5</v>
      </c>
      <c r="L1163">
        <f t="shared" si="167"/>
        <v>91</v>
      </c>
      <c r="M1163">
        <f t="shared" si="168"/>
        <v>146</v>
      </c>
      <c r="N1163">
        <f t="shared" si="169"/>
        <v>229</v>
      </c>
      <c r="P1163" t="str">
        <f t="shared" si="170"/>
        <v>.UnitedNationsBlue-bg{background-color:#5B92E5;}</v>
      </c>
    </row>
    <row r="1164" spans="2:16" ht="15.75">
      <c r="B1164" s="1" t="s">
        <v>2397</v>
      </c>
      <c r="C1164" t="s">
        <v>2398</v>
      </c>
      <c r="D1164">
        <v>18360</v>
      </c>
      <c r="E1164">
        <v>13515</v>
      </c>
      <c r="F1164">
        <v>18360</v>
      </c>
      <c r="G1164" t="str">
        <f t="shared" si="162"/>
        <v>UniversityOfCaliforniaGold</v>
      </c>
      <c r="H1164" t="str">
        <f t="shared" si="163"/>
        <v>B78727</v>
      </c>
      <c r="I1164" t="str">
        <f t="shared" si="164"/>
        <v>B7</v>
      </c>
      <c r="J1164" t="str">
        <f t="shared" si="165"/>
        <v>87</v>
      </c>
      <c r="K1164" t="str">
        <f t="shared" si="166"/>
        <v>27</v>
      </c>
      <c r="L1164">
        <f t="shared" si="167"/>
        <v>183</v>
      </c>
      <c r="M1164">
        <f t="shared" si="168"/>
        <v>135</v>
      </c>
      <c r="N1164">
        <f t="shared" si="169"/>
        <v>39</v>
      </c>
      <c r="P1164" t="str">
        <f t="shared" si="170"/>
        <v>.UniversityOfCaliforniaGold-bg{background-color:#B78727;}</v>
      </c>
    </row>
    <row r="1165" spans="2:16" ht="15.75">
      <c r="B1165" s="1" t="s">
        <v>2399</v>
      </c>
      <c r="C1165" t="s">
        <v>1314</v>
      </c>
      <c r="D1165">
        <v>25500</v>
      </c>
      <c r="E1165">
        <v>25500</v>
      </c>
      <c r="F1165">
        <v>25500</v>
      </c>
      <c r="G1165" t="str">
        <f t="shared" si="162"/>
        <v>UnmellowYellow</v>
      </c>
      <c r="H1165" t="str">
        <f t="shared" si="163"/>
        <v>FFFF66</v>
      </c>
      <c r="I1165" t="str">
        <f t="shared" si="164"/>
        <v>FF</v>
      </c>
      <c r="J1165" t="str">
        <f t="shared" si="165"/>
        <v>FF</v>
      </c>
      <c r="K1165" t="str">
        <f t="shared" si="166"/>
        <v>66</v>
      </c>
      <c r="L1165">
        <f t="shared" si="167"/>
        <v>255</v>
      </c>
      <c r="M1165">
        <f t="shared" si="168"/>
        <v>255</v>
      </c>
      <c r="N1165">
        <f t="shared" si="169"/>
        <v>102</v>
      </c>
      <c r="P1165" t="str">
        <f t="shared" si="170"/>
        <v>.UnmellowYellow-bg{background-color:#FFFF66;}</v>
      </c>
    </row>
    <row r="1166" spans="2:16" ht="15.75">
      <c r="B1166" s="1" t="s">
        <v>2400</v>
      </c>
      <c r="C1166" t="s">
        <v>1041</v>
      </c>
      <c r="D1166">
        <v>0</v>
      </c>
      <c r="E1166">
        <v>6885</v>
      </c>
      <c r="F1166">
        <v>0</v>
      </c>
      <c r="G1166" t="str">
        <f t="shared" si="162"/>
        <v>UpForestGreen</v>
      </c>
      <c r="H1166" t="str">
        <f t="shared" si="163"/>
        <v>014421</v>
      </c>
      <c r="I1166" t="str">
        <f t="shared" si="164"/>
        <v>01</v>
      </c>
      <c r="J1166" t="str">
        <f t="shared" si="165"/>
        <v>44</v>
      </c>
      <c r="K1166" t="str">
        <f t="shared" si="166"/>
        <v>21</v>
      </c>
      <c r="L1166">
        <f t="shared" si="167"/>
        <v>1</v>
      </c>
      <c r="M1166">
        <f t="shared" si="168"/>
        <v>68</v>
      </c>
      <c r="N1166">
        <f t="shared" si="169"/>
        <v>33</v>
      </c>
      <c r="P1166" t="str">
        <f t="shared" si="170"/>
        <v>.UpForestGreen-bg{background-color:#014421;}</v>
      </c>
    </row>
    <row r="1167" spans="2:16" ht="15.75">
      <c r="B1167" s="1" t="s">
        <v>2401</v>
      </c>
      <c r="C1167" t="s">
        <v>2402</v>
      </c>
      <c r="D1167">
        <v>12240</v>
      </c>
      <c r="E1167">
        <v>1785</v>
      </c>
      <c r="F1167">
        <v>12240</v>
      </c>
      <c r="G1167" t="str">
        <f t="shared" si="162"/>
        <v>UpMaroon</v>
      </c>
      <c r="H1167" t="str">
        <f t="shared" si="163"/>
        <v>7B1113</v>
      </c>
      <c r="I1167" t="str">
        <f t="shared" si="164"/>
        <v>7B</v>
      </c>
      <c r="J1167" t="str">
        <f t="shared" si="165"/>
        <v>11</v>
      </c>
      <c r="K1167" t="str">
        <f t="shared" si="166"/>
        <v>13</v>
      </c>
      <c r="L1167">
        <f t="shared" si="167"/>
        <v>123</v>
      </c>
      <c r="M1167">
        <f t="shared" si="168"/>
        <v>17</v>
      </c>
      <c r="N1167">
        <f t="shared" si="169"/>
        <v>19</v>
      </c>
      <c r="P1167" t="str">
        <f t="shared" si="170"/>
        <v>.UpMaroon-bg{background-color:#7B1113;}</v>
      </c>
    </row>
    <row r="1168" spans="2:16" ht="15.75">
      <c r="B1168" s="1" t="s">
        <v>2403</v>
      </c>
      <c r="C1168" t="s">
        <v>2404</v>
      </c>
      <c r="D1168">
        <v>17340</v>
      </c>
      <c r="E1168">
        <v>3315</v>
      </c>
      <c r="F1168">
        <v>17340</v>
      </c>
      <c r="G1168" t="str">
        <f t="shared" si="162"/>
        <v>UpsdellRed</v>
      </c>
      <c r="H1168" t="str">
        <f t="shared" si="163"/>
        <v>AE2029</v>
      </c>
      <c r="I1168" t="str">
        <f t="shared" si="164"/>
        <v>AE</v>
      </c>
      <c r="J1168" t="str">
        <f t="shared" si="165"/>
        <v>20</v>
      </c>
      <c r="K1168" t="str">
        <f t="shared" si="166"/>
        <v>29</v>
      </c>
      <c r="L1168">
        <f t="shared" si="167"/>
        <v>174</v>
      </c>
      <c r="M1168">
        <f t="shared" si="168"/>
        <v>32</v>
      </c>
      <c r="N1168">
        <f t="shared" si="169"/>
        <v>41</v>
      </c>
      <c r="P1168" t="str">
        <f t="shared" si="170"/>
        <v>.UpsdellRed-bg{background-color:#AE2029;}</v>
      </c>
    </row>
    <row r="1169" spans="2:16" ht="15.75">
      <c r="B1169" s="1" t="s">
        <v>2405</v>
      </c>
      <c r="C1169" t="s">
        <v>2406</v>
      </c>
      <c r="D1169">
        <v>22440</v>
      </c>
      <c r="E1169">
        <v>17340</v>
      </c>
      <c r="F1169">
        <v>22440</v>
      </c>
      <c r="G1169" t="str">
        <f t="shared" si="162"/>
        <v>Urobilin</v>
      </c>
      <c r="H1169" t="str">
        <f t="shared" si="163"/>
        <v>E1AD21</v>
      </c>
      <c r="I1169" t="str">
        <f t="shared" si="164"/>
        <v>E1</v>
      </c>
      <c r="J1169" t="str">
        <f t="shared" si="165"/>
        <v>AD</v>
      </c>
      <c r="K1169" t="str">
        <f t="shared" si="166"/>
        <v>21</v>
      </c>
      <c r="L1169">
        <f t="shared" si="167"/>
        <v>225</v>
      </c>
      <c r="M1169">
        <f t="shared" si="168"/>
        <v>173</v>
      </c>
      <c r="N1169">
        <f t="shared" si="169"/>
        <v>33</v>
      </c>
      <c r="P1169" t="str">
        <f t="shared" si="170"/>
        <v>.Urobilin-bg{background-color:#E1AD21;}</v>
      </c>
    </row>
    <row r="1170" spans="2:16" ht="15.75">
      <c r="B1170" s="1" t="s">
        <v>2407</v>
      </c>
      <c r="C1170" t="s">
        <v>2408</v>
      </c>
      <c r="D1170">
        <v>0</v>
      </c>
      <c r="E1170">
        <v>7905</v>
      </c>
      <c r="F1170">
        <v>0</v>
      </c>
      <c r="G1170" t="str">
        <f t="shared" si="162"/>
        <v>UsafaBlue</v>
      </c>
      <c r="H1170" t="str">
        <f t="shared" si="163"/>
        <v>004F98</v>
      </c>
      <c r="I1170" t="str">
        <f t="shared" si="164"/>
        <v>00</v>
      </c>
      <c r="J1170" t="str">
        <f t="shared" si="165"/>
        <v>4F</v>
      </c>
      <c r="K1170" t="str">
        <f t="shared" si="166"/>
        <v>98</v>
      </c>
      <c r="L1170">
        <f t="shared" si="167"/>
        <v>0</v>
      </c>
      <c r="M1170">
        <f t="shared" si="168"/>
        <v>79</v>
      </c>
      <c r="N1170">
        <f t="shared" si="169"/>
        <v>152</v>
      </c>
      <c r="P1170" t="str">
        <f t="shared" si="170"/>
        <v>.UsafaBlue-bg{background-color:#004F98;}</v>
      </c>
    </row>
    <row r="1171" spans="2:16" ht="15.75">
      <c r="B1171" s="1" t="s">
        <v>2409</v>
      </c>
      <c r="C1171" t="s">
        <v>708</v>
      </c>
      <c r="D1171">
        <v>15300</v>
      </c>
      <c r="E1171">
        <v>0</v>
      </c>
      <c r="F1171">
        <v>15300</v>
      </c>
      <c r="G1171" t="str">
        <f t="shared" si="162"/>
        <v>UscCardinal</v>
      </c>
      <c r="H1171" t="str">
        <f t="shared" si="163"/>
        <v>990000</v>
      </c>
      <c r="I1171" t="str">
        <f t="shared" si="164"/>
        <v>99</v>
      </c>
      <c r="J1171" t="str">
        <f t="shared" si="165"/>
        <v>00</v>
      </c>
      <c r="K1171" t="str">
        <f t="shared" si="166"/>
        <v>00</v>
      </c>
      <c r="L1171">
        <f t="shared" si="167"/>
        <v>153</v>
      </c>
      <c r="M1171">
        <f t="shared" si="168"/>
        <v>0</v>
      </c>
      <c r="N1171">
        <f t="shared" si="169"/>
        <v>0</v>
      </c>
      <c r="P1171" t="str">
        <f t="shared" si="170"/>
        <v>.UscCardinal-bg{background-color:#990000;}</v>
      </c>
    </row>
    <row r="1172" spans="2:16" ht="15.75">
      <c r="B1172" s="1" t="s">
        <v>2410</v>
      </c>
      <c r="C1172" t="s">
        <v>2297</v>
      </c>
      <c r="D1172">
        <v>25500</v>
      </c>
      <c r="E1172">
        <v>20400</v>
      </c>
      <c r="F1172">
        <v>25500</v>
      </c>
      <c r="G1172" t="str">
        <f t="shared" si="162"/>
        <v>UscGold</v>
      </c>
      <c r="H1172" t="str">
        <f t="shared" si="163"/>
        <v>FFCC00</v>
      </c>
      <c r="I1172" t="str">
        <f t="shared" si="164"/>
        <v>FF</v>
      </c>
      <c r="J1172" t="str">
        <f t="shared" si="165"/>
        <v>CC</v>
      </c>
      <c r="K1172" t="str">
        <f t="shared" si="166"/>
        <v>00</v>
      </c>
      <c r="L1172">
        <f t="shared" si="167"/>
        <v>255</v>
      </c>
      <c r="M1172">
        <f t="shared" si="168"/>
        <v>204</v>
      </c>
      <c r="N1172">
        <f t="shared" si="169"/>
        <v>0</v>
      </c>
      <c r="P1172" t="str">
        <f t="shared" si="170"/>
        <v>.UscGold-bg{background-color:#FFCC00;}</v>
      </c>
    </row>
    <row r="1173" spans="2:16" ht="15.75">
      <c r="B1173" s="1" t="s">
        <v>2411</v>
      </c>
      <c r="C1173" t="s">
        <v>2412</v>
      </c>
      <c r="D1173">
        <v>24735</v>
      </c>
      <c r="E1173">
        <v>12750</v>
      </c>
      <c r="F1173">
        <v>24735</v>
      </c>
      <c r="G1173" t="str">
        <f t="shared" si="162"/>
        <v>UniversityOfTennesseeOrange</v>
      </c>
      <c r="H1173" t="str">
        <f t="shared" si="163"/>
        <v>F77F00</v>
      </c>
      <c r="I1173" t="str">
        <f t="shared" si="164"/>
        <v>F7</v>
      </c>
      <c r="J1173" t="str">
        <f t="shared" si="165"/>
        <v>7F</v>
      </c>
      <c r="K1173" t="str">
        <f t="shared" si="166"/>
        <v>00</v>
      </c>
      <c r="L1173">
        <f t="shared" si="167"/>
        <v>247</v>
      </c>
      <c r="M1173">
        <f t="shared" si="168"/>
        <v>127</v>
      </c>
      <c r="N1173">
        <f t="shared" si="169"/>
        <v>0</v>
      </c>
      <c r="P1173" t="str">
        <f t="shared" si="170"/>
        <v>.UniversityOfTennesseeOrange-bg{background-color:#F77F00;}</v>
      </c>
    </row>
    <row r="1174" spans="2:16" ht="15.75">
      <c r="B1174" s="1" t="s">
        <v>2413</v>
      </c>
      <c r="C1174" t="s">
        <v>2414</v>
      </c>
      <c r="D1174">
        <v>21165</v>
      </c>
      <c r="E1174">
        <v>0</v>
      </c>
      <c r="F1174">
        <v>21165</v>
      </c>
      <c r="G1174" t="str">
        <f t="shared" si="162"/>
        <v>UtahCrimson</v>
      </c>
      <c r="H1174" t="str">
        <f t="shared" si="163"/>
        <v>D3003F</v>
      </c>
      <c r="I1174" t="str">
        <f t="shared" si="164"/>
        <v>D3</v>
      </c>
      <c r="J1174" t="str">
        <f t="shared" si="165"/>
        <v>00</v>
      </c>
      <c r="K1174" t="str">
        <f t="shared" si="166"/>
        <v>3F</v>
      </c>
      <c r="L1174">
        <f t="shared" si="167"/>
        <v>211</v>
      </c>
      <c r="M1174">
        <f t="shared" si="168"/>
        <v>0</v>
      </c>
      <c r="N1174">
        <f t="shared" si="169"/>
        <v>63</v>
      </c>
      <c r="P1174" t="str">
        <f t="shared" si="170"/>
        <v>.UtahCrimson-bg{background-color:#D3003F;}</v>
      </c>
    </row>
    <row r="1175" spans="2:16" ht="15.75">
      <c r="B1175" s="1" t="s">
        <v>2415</v>
      </c>
      <c r="C1175" t="s">
        <v>2416</v>
      </c>
      <c r="D1175">
        <v>10200</v>
      </c>
      <c r="E1175">
        <v>6630</v>
      </c>
      <c r="F1175">
        <v>10200</v>
      </c>
      <c r="G1175" t="str">
        <f t="shared" si="162"/>
        <v>VanDykeBrown</v>
      </c>
      <c r="H1175" t="str">
        <f t="shared" si="163"/>
        <v>664228</v>
      </c>
      <c r="I1175" t="str">
        <f t="shared" si="164"/>
        <v>66</v>
      </c>
      <c r="J1175" t="str">
        <f t="shared" si="165"/>
        <v>42</v>
      </c>
      <c r="K1175" t="str">
        <f t="shared" si="166"/>
        <v>28</v>
      </c>
      <c r="L1175">
        <f t="shared" si="167"/>
        <v>102</v>
      </c>
      <c r="M1175">
        <f t="shared" si="168"/>
        <v>66</v>
      </c>
      <c r="N1175">
        <f t="shared" si="169"/>
        <v>40</v>
      </c>
      <c r="P1175" t="str">
        <f t="shared" si="170"/>
        <v>.VanDykeBrown-bg{background-color:#664228;}</v>
      </c>
    </row>
    <row r="1176" spans="2:16" ht="15.75">
      <c r="B1176" s="1" t="s">
        <v>2417</v>
      </c>
      <c r="C1176" t="s">
        <v>1526</v>
      </c>
      <c r="D1176">
        <v>24225</v>
      </c>
      <c r="E1176">
        <v>22950</v>
      </c>
      <c r="F1176">
        <v>24225</v>
      </c>
      <c r="G1176" t="str">
        <f t="shared" si="162"/>
        <v>Vanilla</v>
      </c>
      <c r="H1176" t="str">
        <f t="shared" si="163"/>
        <v>F3E5AB</v>
      </c>
      <c r="I1176" t="str">
        <f t="shared" si="164"/>
        <v>F3</v>
      </c>
      <c r="J1176" t="str">
        <f t="shared" si="165"/>
        <v>E5</v>
      </c>
      <c r="K1176" t="str">
        <f t="shared" si="166"/>
        <v>AB</v>
      </c>
      <c r="L1176">
        <f t="shared" si="167"/>
        <v>243</v>
      </c>
      <c r="M1176">
        <f t="shared" si="168"/>
        <v>229</v>
      </c>
      <c r="N1176">
        <f t="shared" si="169"/>
        <v>171</v>
      </c>
      <c r="P1176" t="str">
        <f t="shared" si="170"/>
        <v>.Vanilla-bg{background-color:#F3E5AB;}</v>
      </c>
    </row>
    <row r="1177" spans="2:16" ht="15.75">
      <c r="B1177" s="1" t="s">
        <v>2418</v>
      </c>
      <c r="C1177" t="s">
        <v>2419</v>
      </c>
      <c r="D1177">
        <v>24225</v>
      </c>
      <c r="E1177">
        <v>14280</v>
      </c>
      <c r="F1177">
        <v>24225</v>
      </c>
      <c r="G1177" t="str">
        <f t="shared" si="162"/>
        <v>VanillaIce</v>
      </c>
      <c r="H1177" t="str">
        <f t="shared" si="163"/>
        <v>F38FA9</v>
      </c>
      <c r="I1177" t="str">
        <f t="shared" si="164"/>
        <v>F3</v>
      </c>
      <c r="J1177" t="str">
        <f t="shared" si="165"/>
        <v>8F</v>
      </c>
      <c r="K1177" t="str">
        <f t="shared" si="166"/>
        <v>A9</v>
      </c>
      <c r="L1177">
        <f t="shared" si="167"/>
        <v>243</v>
      </c>
      <c r="M1177">
        <f t="shared" si="168"/>
        <v>143</v>
      </c>
      <c r="N1177">
        <f t="shared" si="169"/>
        <v>169</v>
      </c>
      <c r="P1177" t="str">
        <f t="shared" si="170"/>
        <v>.VanillaIce-bg{background-color:#F38FA9;}</v>
      </c>
    </row>
    <row r="1178" spans="2:16" ht="15.75">
      <c r="B1178" s="1" t="s">
        <v>2420</v>
      </c>
      <c r="C1178" t="s">
        <v>2421</v>
      </c>
      <c r="D1178">
        <v>19635</v>
      </c>
      <c r="E1178">
        <v>17850</v>
      </c>
      <c r="F1178">
        <v>19635</v>
      </c>
      <c r="G1178" t="str">
        <f t="shared" si="162"/>
        <v>VegasGold</v>
      </c>
      <c r="H1178" t="str">
        <f t="shared" si="163"/>
        <v>C5B358</v>
      </c>
      <c r="I1178" t="str">
        <f t="shared" si="164"/>
        <v>C5</v>
      </c>
      <c r="J1178" t="str">
        <f t="shared" si="165"/>
        <v>B3</v>
      </c>
      <c r="K1178" t="str">
        <f t="shared" si="166"/>
        <v>58</v>
      </c>
      <c r="L1178">
        <f t="shared" si="167"/>
        <v>197</v>
      </c>
      <c r="M1178">
        <f t="shared" si="168"/>
        <v>179</v>
      </c>
      <c r="N1178">
        <f t="shared" si="169"/>
        <v>88</v>
      </c>
      <c r="P1178" t="str">
        <f t="shared" si="170"/>
        <v>.VegasGold-bg{background-color:#C5B358;}</v>
      </c>
    </row>
    <row r="1179" spans="2:16" ht="15.75">
      <c r="B1179" s="1" t="s">
        <v>2422</v>
      </c>
      <c r="C1179" t="s">
        <v>2423</v>
      </c>
      <c r="D1179">
        <v>19890</v>
      </c>
      <c r="E1179">
        <v>765</v>
      </c>
      <c r="F1179">
        <v>19890</v>
      </c>
      <c r="G1179" t="str">
        <f t="shared" si="162"/>
        <v>VenetianRed</v>
      </c>
      <c r="H1179" t="str">
        <f t="shared" si="163"/>
        <v>C80815</v>
      </c>
      <c r="I1179" t="str">
        <f t="shared" si="164"/>
        <v>C8</v>
      </c>
      <c r="J1179" t="str">
        <f t="shared" si="165"/>
        <v>08</v>
      </c>
      <c r="K1179" t="str">
        <f t="shared" si="166"/>
        <v>15</v>
      </c>
      <c r="L1179">
        <f t="shared" si="167"/>
        <v>200</v>
      </c>
      <c r="M1179">
        <f t="shared" si="168"/>
        <v>8</v>
      </c>
      <c r="N1179">
        <f t="shared" si="169"/>
        <v>21</v>
      </c>
      <c r="P1179" t="str">
        <f t="shared" si="170"/>
        <v>.VenetianRed-bg{background-color:#C80815;}</v>
      </c>
    </row>
    <row r="1180" spans="2:16" ht="15.75">
      <c r="B1180" s="1" t="s">
        <v>2424</v>
      </c>
      <c r="C1180" t="s">
        <v>2425</v>
      </c>
      <c r="D1180">
        <v>6630</v>
      </c>
      <c r="E1180">
        <v>17850</v>
      </c>
      <c r="F1180">
        <v>6630</v>
      </c>
      <c r="G1180" t="str">
        <f t="shared" si="162"/>
        <v>Verdigris</v>
      </c>
      <c r="H1180" t="str">
        <f t="shared" si="163"/>
        <v>43B3AE</v>
      </c>
      <c r="I1180" t="str">
        <f t="shared" si="164"/>
        <v>43</v>
      </c>
      <c r="J1180" t="str">
        <f t="shared" si="165"/>
        <v>B3</v>
      </c>
      <c r="K1180" t="str">
        <f t="shared" si="166"/>
        <v>AE</v>
      </c>
      <c r="L1180">
        <f t="shared" si="167"/>
        <v>67</v>
      </c>
      <c r="M1180">
        <f t="shared" si="168"/>
        <v>179</v>
      </c>
      <c r="N1180">
        <f t="shared" si="169"/>
        <v>174</v>
      </c>
      <c r="P1180" t="str">
        <f t="shared" si="170"/>
        <v>.Verdigris-bg{background-color:#43B3AE;}</v>
      </c>
    </row>
    <row r="1181" spans="2:16" ht="15.75">
      <c r="B1181" s="1" t="s">
        <v>2426</v>
      </c>
      <c r="C1181" t="s">
        <v>640</v>
      </c>
      <c r="D1181">
        <v>22695</v>
      </c>
      <c r="E1181">
        <v>6630</v>
      </c>
      <c r="F1181">
        <v>22695</v>
      </c>
      <c r="G1181" t="str">
        <f t="shared" si="162"/>
        <v>Vermilion</v>
      </c>
      <c r="H1181" t="str">
        <f t="shared" si="163"/>
        <v>E34234</v>
      </c>
      <c r="I1181" t="str">
        <f t="shared" si="164"/>
        <v>E3</v>
      </c>
      <c r="J1181" t="str">
        <f t="shared" si="165"/>
        <v>42</v>
      </c>
      <c r="K1181" t="str">
        <f t="shared" si="166"/>
        <v>34</v>
      </c>
      <c r="L1181">
        <f t="shared" si="167"/>
        <v>227</v>
      </c>
      <c r="M1181">
        <f t="shared" si="168"/>
        <v>66</v>
      </c>
      <c r="N1181">
        <f t="shared" si="169"/>
        <v>52</v>
      </c>
      <c r="P1181" t="str">
        <f t="shared" si="170"/>
        <v>.Vermilion-bg{background-color:#E34234;}</v>
      </c>
    </row>
    <row r="1182" spans="2:16" ht="15.75">
      <c r="B1182" s="1" t="s">
        <v>2426</v>
      </c>
      <c r="C1182" t="s">
        <v>2427</v>
      </c>
      <c r="D1182">
        <v>21675</v>
      </c>
      <c r="E1182">
        <v>5610</v>
      </c>
      <c r="F1182">
        <v>21675</v>
      </c>
      <c r="G1182" t="str">
        <f t="shared" si="162"/>
        <v>Vermilion</v>
      </c>
      <c r="H1182" t="str">
        <f t="shared" si="163"/>
        <v>D9381E</v>
      </c>
      <c r="I1182" t="str">
        <f t="shared" si="164"/>
        <v>D9</v>
      </c>
      <c r="J1182" t="str">
        <f t="shared" si="165"/>
        <v>38</v>
      </c>
      <c r="K1182" t="str">
        <f t="shared" si="166"/>
        <v>1E</v>
      </c>
      <c r="L1182">
        <f t="shared" si="167"/>
        <v>217</v>
      </c>
      <c r="M1182">
        <f t="shared" si="168"/>
        <v>56</v>
      </c>
      <c r="N1182">
        <f t="shared" si="169"/>
        <v>30</v>
      </c>
      <c r="P1182" t="str">
        <f t="shared" si="170"/>
        <v>.Vermilion-bg{background-color:#D9381E;}</v>
      </c>
    </row>
    <row r="1183" spans="2:16" ht="15.75">
      <c r="B1183" s="1" t="s">
        <v>2428</v>
      </c>
      <c r="C1183" t="s">
        <v>1926</v>
      </c>
      <c r="D1183">
        <v>16065</v>
      </c>
      <c r="E1183">
        <v>3315</v>
      </c>
      <c r="F1183">
        <v>16065</v>
      </c>
      <c r="G1183" t="str">
        <f t="shared" si="162"/>
        <v>Veronica</v>
      </c>
      <c r="H1183" t="str">
        <f t="shared" si="163"/>
        <v>A020F0</v>
      </c>
      <c r="I1183" t="str">
        <f t="shared" si="164"/>
        <v>A0</v>
      </c>
      <c r="J1183" t="str">
        <f t="shared" si="165"/>
        <v>20</v>
      </c>
      <c r="K1183" t="str">
        <f t="shared" si="166"/>
        <v>F0</v>
      </c>
      <c r="L1183">
        <f t="shared" si="167"/>
        <v>160</v>
      </c>
      <c r="M1183">
        <f t="shared" si="168"/>
        <v>32</v>
      </c>
      <c r="N1183">
        <f t="shared" si="169"/>
        <v>240</v>
      </c>
      <c r="P1183" t="str">
        <f t="shared" si="170"/>
        <v>.Veronica-bg{background-color:#A020F0;}</v>
      </c>
    </row>
    <row r="1184" spans="2:16" ht="15.75">
      <c r="B1184" s="1" t="s">
        <v>2429</v>
      </c>
      <c r="C1184" t="s">
        <v>2430</v>
      </c>
      <c r="D1184">
        <v>11475</v>
      </c>
      <c r="E1184">
        <v>18615</v>
      </c>
      <c r="F1184">
        <v>11475</v>
      </c>
      <c r="G1184" t="str">
        <f t="shared" si="162"/>
        <v>VeryLightAzure</v>
      </c>
      <c r="H1184" t="str">
        <f t="shared" si="163"/>
        <v>74BBFB</v>
      </c>
      <c r="I1184" t="str">
        <f t="shared" si="164"/>
        <v>74</v>
      </c>
      <c r="J1184" t="str">
        <f t="shared" si="165"/>
        <v>BB</v>
      </c>
      <c r="K1184" t="str">
        <f t="shared" si="166"/>
        <v>FB</v>
      </c>
      <c r="L1184">
        <f t="shared" si="167"/>
        <v>116</v>
      </c>
      <c r="M1184">
        <f t="shared" si="168"/>
        <v>187</v>
      </c>
      <c r="N1184">
        <f t="shared" si="169"/>
        <v>251</v>
      </c>
      <c r="P1184" t="str">
        <f t="shared" si="170"/>
        <v>.VeryLightAzure-bg{background-color:#74BBFB;}</v>
      </c>
    </row>
    <row r="1185" spans="2:16" ht="15.75">
      <c r="B1185" s="1" t="s">
        <v>2431</v>
      </c>
      <c r="C1185" t="s">
        <v>2432</v>
      </c>
      <c r="D1185">
        <v>10200</v>
      </c>
      <c r="E1185">
        <v>10200</v>
      </c>
      <c r="F1185">
        <v>10200</v>
      </c>
      <c r="G1185" t="str">
        <f t="shared" si="162"/>
        <v>VeryLightBlue</v>
      </c>
      <c r="H1185" t="str">
        <f t="shared" si="163"/>
        <v>6666FF</v>
      </c>
      <c r="I1185" t="str">
        <f t="shared" si="164"/>
        <v>66</v>
      </c>
      <c r="J1185" t="str">
        <f t="shared" si="165"/>
        <v>66</v>
      </c>
      <c r="K1185" t="str">
        <f t="shared" si="166"/>
        <v>FF</v>
      </c>
      <c r="L1185">
        <f t="shared" si="167"/>
        <v>102</v>
      </c>
      <c r="M1185">
        <f t="shared" si="168"/>
        <v>102</v>
      </c>
      <c r="N1185">
        <f t="shared" si="169"/>
        <v>255</v>
      </c>
      <c r="P1185" t="str">
        <f t="shared" si="170"/>
        <v>.VeryLightBlue-bg{background-color:#6666FF;}</v>
      </c>
    </row>
    <row r="1186" spans="2:16" ht="15.75">
      <c r="B1186" s="1" t="s">
        <v>2433</v>
      </c>
      <c r="C1186" t="s">
        <v>2434</v>
      </c>
      <c r="D1186">
        <v>9945</v>
      </c>
      <c r="E1186">
        <v>23205</v>
      </c>
      <c r="F1186">
        <v>9945</v>
      </c>
      <c r="G1186" t="str">
        <f t="shared" si="162"/>
        <v>VeryLightMalachiteGreen</v>
      </c>
      <c r="H1186" t="str">
        <f t="shared" si="163"/>
        <v>64E986</v>
      </c>
      <c r="I1186" t="str">
        <f t="shared" si="164"/>
        <v>64</v>
      </c>
      <c r="J1186" t="str">
        <f t="shared" si="165"/>
        <v>E9</v>
      </c>
      <c r="K1186" t="str">
        <f t="shared" si="166"/>
        <v>86</v>
      </c>
      <c r="L1186">
        <f t="shared" si="167"/>
        <v>100</v>
      </c>
      <c r="M1186">
        <f t="shared" si="168"/>
        <v>233</v>
      </c>
      <c r="N1186">
        <f t="shared" si="169"/>
        <v>134</v>
      </c>
      <c r="P1186" t="str">
        <f t="shared" si="170"/>
        <v>.VeryLightMalachiteGreen-bg{background-color:#64E986;}</v>
      </c>
    </row>
    <row r="1187" spans="2:16" ht="15.75">
      <c r="B1187" s="1" t="s">
        <v>2435</v>
      </c>
      <c r="C1187" t="s">
        <v>2436</v>
      </c>
      <c r="D1187">
        <v>25500</v>
      </c>
      <c r="E1187">
        <v>17595</v>
      </c>
      <c r="F1187">
        <v>25500</v>
      </c>
      <c r="G1187" t="str">
        <f t="shared" si="162"/>
        <v>VeryLightTangelo</v>
      </c>
      <c r="H1187" t="str">
        <f t="shared" si="163"/>
        <v>FFB077</v>
      </c>
      <c r="I1187" t="str">
        <f t="shared" si="164"/>
        <v>FF</v>
      </c>
      <c r="J1187" t="str">
        <f t="shared" si="165"/>
        <v>B0</v>
      </c>
      <c r="K1187" t="str">
        <f t="shared" si="166"/>
        <v>77</v>
      </c>
      <c r="L1187">
        <f t="shared" si="167"/>
        <v>255</v>
      </c>
      <c r="M1187">
        <f t="shared" si="168"/>
        <v>176</v>
      </c>
      <c r="N1187">
        <f t="shared" si="169"/>
        <v>119</v>
      </c>
      <c r="P1187" t="str">
        <f t="shared" si="170"/>
        <v>.VeryLightTangelo-bg{background-color:#FFB077;}</v>
      </c>
    </row>
    <row r="1188" spans="2:16" ht="15.75">
      <c r="B1188" s="1" t="s">
        <v>2437</v>
      </c>
      <c r="C1188" t="s">
        <v>2438</v>
      </c>
      <c r="D1188">
        <v>25500</v>
      </c>
      <c r="E1188">
        <v>22185</v>
      </c>
      <c r="F1188">
        <v>25500</v>
      </c>
      <c r="G1188" t="str">
        <f t="shared" si="162"/>
        <v>VeryPaleOrange</v>
      </c>
      <c r="H1188" t="str">
        <f t="shared" si="163"/>
        <v>FFDFBF</v>
      </c>
      <c r="I1188" t="str">
        <f t="shared" si="164"/>
        <v>FF</v>
      </c>
      <c r="J1188" t="str">
        <f t="shared" si="165"/>
        <v>DF</v>
      </c>
      <c r="K1188" t="str">
        <f t="shared" si="166"/>
        <v>BF</v>
      </c>
      <c r="L1188">
        <f t="shared" si="167"/>
        <v>255</v>
      </c>
      <c r="M1188">
        <f t="shared" si="168"/>
        <v>223</v>
      </c>
      <c r="N1188">
        <f t="shared" si="169"/>
        <v>191</v>
      </c>
      <c r="P1188" t="str">
        <f t="shared" si="170"/>
        <v>.VeryPaleOrange-bg{background-color:#FFDFBF;}</v>
      </c>
    </row>
    <row r="1189" spans="2:16" ht="15.75">
      <c r="B1189" s="1" t="s">
        <v>2439</v>
      </c>
      <c r="C1189" t="s">
        <v>2440</v>
      </c>
      <c r="D1189">
        <v>25500</v>
      </c>
      <c r="E1189">
        <v>25500</v>
      </c>
      <c r="F1189">
        <v>25500</v>
      </c>
      <c r="G1189" t="str">
        <f t="shared" si="162"/>
        <v>VeryPaleYellow</v>
      </c>
      <c r="H1189" t="str">
        <f t="shared" si="163"/>
        <v>FFFFBF</v>
      </c>
      <c r="I1189" t="str">
        <f t="shared" si="164"/>
        <v>FF</v>
      </c>
      <c r="J1189" t="str">
        <f t="shared" si="165"/>
        <v>FF</v>
      </c>
      <c r="K1189" t="str">
        <f t="shared" si="166"/>
        <v>BF</v>
      </c>
      <c r="L1189">
        <f t="shared" si="167"/>
        <v>255</v>
      </c>
      <c r="M1189">
        <f t="shared" si="168"/>
        <v>255</v>
      </c>
      <c r="N1189">
        <f t="shared" si="169"/>
        <v>191</v>
      </c>
      <c r="P1189" t="str">
        <f t="shared" si="170"/>
        <v>.VeryPaleYellow-bg{background-color:#FFFFBF;}</v>
      </c>
    </row>
    <row r="1190" spans="2:16" ht="15.75">
      <c r="B1190" s="1" t="s">
        <v>2441</v>
      </c>
      <c r="C1190" t="s">
        <v>975</v>
      </c>
      <c r="D1190">
        <v>14280</v>
      </c>
      <c r="E1190">
        <v>0</v>
      </c>
      <c r="F1190">
        <v>14280</v>
      </c>
      <c r="G1190" t="str">
        <f t="shared" si="162"/>
        <v>Violet</v>
      </c>
      <c r="H1190" t="str">
        <f t="shared" si="163"/>
        <v>8F00FF</v>
      </c>
      <c r="I1190" t="str">
        <f t="shared" si="164"/>
        <v>8F</v>
      </c>
      <c r="J1190" t="str">
        <f t="shared" si="165"/>
        <v>00</v>
      </c>
      <c r="K1190" t="str">
        <f t="shared" si="166"/>
        <v>FF</v>
      </c>
      <c r="L1190">
        <f t="shared" si="167"/>
        <v>143</v>
      </c>
      <c r="M1190">
        <f t="shared" si="168"/>
        <v>0</v>
      </c>
      <c r="N1190">
        <f t="shared" si="169"/>
        <v>255</v>
      </c>
      <c r="P1190" t="str">
        <f t="shared" si="170"/>
        <v>.Violet-bg{background-color:#8F00FF;}</v>
      </c>
    </row>
    <row r="1191" spans="2:16" ht="15.75">
      <c r="B1191" s="1" t="s">
        <v>2442</v>
      </c>
      <c r="C1191" t="s">
        <v>2443</v>
      </c>
      <c r="D1191">
        <v>12750</v>
      </c>
      <c r="E1191">
        <v>0</v>
      </c>
      <c r="F1191">
        <v>12750</v>
      </c>
      <c r="G1191" t="str">
        <f t="shared" si="162"/>
        <v>VioletColorWheel</v>
      </c>
      <c r="H1191" t="str">
        <f t="shared" si="163"/>
        <v>7F00FF</v>
      </c>
      <c r="I1191" t="str">
        <f t="shared" si="164"/>
        <v>7F</v>
      </c>
      <c r="J1191" t="str">
        <f t="shared" si="165"/>
        <v>00</v>
      </c>
      <c r="K1191" t="str">
        <f t="shared" si="166"/>
        <v>FF</v>
      </c>
      <c r="L1191">
        <f t="shared" si="167"/>
        <v>127</v>
      </c>
      <c r="M1191">
        <f t="shared" si="168"/>
        <v>0</v>
      </c>
      <c r="N1191">
        <f t="shared" si="169"/>
        <v>255</v>
      </c>
      <c r="P1191" t="str">
        <f t="shared" si="170"/>
        <v>.VioletColorWheel-bg{background-color:#7F00FF;}</v>
      </c>
    </row>
    <row r="1192" spans="2:16" ht="15.75">
      <c r="B1192" s="1" t="s">
        <v>2444</v>
      </c>
      <c r="C1192" t="s">
        <v>2445</v>
      </c>
      <c r="D1192">
        <v>13515</v>
      </c>
      <c r="E1192">
        <v>0</v>
      </c>
      <c r="F1192">
        <v>13515</v>
      </c>
      <c r="G1192" t="str">
        <f t="shared" si="162"/>
        <v>VioletRyb</v>
      </c>
      <c r="H1192" t="str">
        <f t="shared" si="163"/>
        <v>8601AF</v>
      </c>
      <c r="I1192" t="str">
        <f t="shared" si="164"/>
        <v>86</v>
      </c>
      <c r="J1192" t="str">
        <f t="shared" si="165"/>
        <v>01</v>
      </c>
      <c r="K1192" t="str">
        <f t="shared" si="166"/>
        <v>AF</v>
      </c>
      <c r="L1192">
        <f t="shared" si="167"/>
        <v>134</v>
      </c>
      <c r="M1192">
        <f t="shared" si="168"/>
        <v>1</v>
      </c>
      <c r="N1192">
        <f t="shared" si="169"/>
        <v>175</v>
      </c>
      <c r="P1192" t="str">
        <f t="shared" si="170"/>
        <v>.VioletRyb-bg{background-color:#8601AF;}</v>
      </c>
    </row>
    <row r="1193" spans="2:16" ht="15.75">
      <c r="B1193" s="1" t="s">
        <v>2446</v>
      </c>
      <c r="C1193" t="s">
        <v>1332</v>
      </c>
      <c r="D1193">
        <v>23715</v>
      </c>
      <c r="E1193">
        <v>13005</v>
      </c>
      <c r="F1193">
        <v>23715</v>
      </c>
      <c r="G1193" t="str">
        <f t="shared" si="162"/>
        <v>VioletWeb</v>
      </c>
      <c r="H1193" t="str">
        <f t="shared" si="163"/>
        <v>EE82EE</v>
      </c>
      <c r="I1193" t="str">
        <f t="shared" si="164"/>
        <v>EE</v>
      </c>
      <c r="J1193" t="str">
        <f t="shared" si="165"/>
        <v>82</v>
      </c>
      <c r="K1193" t="str">
        <f t="shared" si="166"/>
        <v>EE</v>
      </c>
      <c r="L1193">
        <f t="shared" si="167"/>
        <v>238</v>
      </c>
      <c r="M1193">
        <f t="shared" si="168"/>
        <v>130</v>
      </c>
      <c r="N1193">
        <f t="shared" si="169"/>
        <v>238</v>
      </c>
      <c r="P1193" t="str">
        <f t="shared" si="170"/>
        <v>.VioletWeb-bg{background-color:#EE82EE;}</v>
      </c>
    </row>
    <row r="1194" spans="2:16" ht="15.75">
      <c r="B1194" s="1" t="s">
        <v>2447</v>
      </c>
      <c r="C1194" t="s">
        <v>2448</v>
      </c>
      <c r="D1194">
        <v>5100</v>
      </c>
      <c r="E1194">
        <v>7395</v>
      </c>
      <c r="F1194">
        <v>5100</v>
      </c>
      <c r="G1194" t="str">
        <f t="shared" si="162"/>
        <v>Violetblue</v>
      </c>
      <c r="H1194" t="str">
        <f t="shared" si="163"/>
        <v>324AB2</v>
      </c>
      <c r="I1194" t="str">
        <f t="shared" si="164"/>
        <v>32</v>
      </c>
      <c r="J1194" t="str">
        <f t="shared" si="165"/>
        <v>4A</v>
      </c>
      <c r="K1194" t="str">
        <f t="shared" si="166"/>
        <v>B2</v>
      </c>
      <c r="L1194">
        <f t="shared" si="167"/>
        <v>50</v>
      </c>
      <c r="M1194">
        <f t="shared" si="168"/>
        <v>74</v>
      </c>
      <c r="N1194">
        <f t="shared" si="169"/>
        <v>178</v>
      </c>
      <c r="P1194" t="str">
        <f t="shared" si="170"/>
        <v>.Violetblue-bg{background-color:#324AB2;}</v>
      </c>
    </row>
    <row r="1195" spans="2:16" ht="15.75">
      <c r="B1195" s="1" t="s">
        <v>2449</v>
      </c>
      <c r="C1195" t="s">
        <v>2450</v>
      </c>
      <c r="D1195">
        <v>24735</v>
      </c>
      <c r="E1195">
        <v>8415</v>
      </c>
      <c r="F1195">
        <v>24735</v>
      </c>
      <c r="G1195" t="str">
        <f t="shared" si="162"/>
        <v>Violetred</v>
      </c>
      <c r="H1195" t="str">
        <f t="shared" si="163"/>
        <v>F75394</v>
      </c>
      <c r="I1195" t="str">
        <f t="shared" si="164"/>
        <v>F7</v>
      </c>
      <c r="J1195" t="str">
        <f t="shared" si="165"/>
        <v>53</v>
      </c>
      <c r="K1195" t="str">
        <f t="shared" si="166"/>
        <v>94</v>
      </c>
      <c r="L1195">
        <f t="shared" si="167"/>
        <v>247</v>
      </c>
      <c r="M1195">
        <f t="shared" si="168"/>
        <v>83</v>
      </c>
      <c r="N1195">
        <f t="shared" si="169"/>
        <v>148</v>
      </c>
      <c r="P1195" t="str">
        <f t="shared" si="170"/>
        <v>.Violetred-bg{background-color:#F75394;}</v>
      </c>
    </row>
    <row r="1196" spans="2:16" ht="15.75">
      <c r="B1196" s="1" t="s">
        <v>2451</v>
      </c>
      <c r="C1196" t="s">
        <v>849</v>
      </c>
      <c r="D1196">
        <v>6375</v>
      </c>
      <c r="E1196">
        <v>13005</v>
      </c>
      <c r="F1196">
        <v>6375</v>
      </c>
      <c r="G1196" t="str">
        <f t="shared" si="162"/>
        <v>Viridian</v>
      </c>
      <c r="H1196" t="str">
        <f t="shared" si="163"/>
        <v>40826D</v>
      </c>
      <c r="I1196" t="str">
        <f t="shared" si="164"/>
        <v>40</v>
      </c>
      <c r="J1196" t="str">
        <f t="shared" si="165"/>
        <v>82</v>
      </c>
      <c r="K1196" t="str">
        <f t="shared" si="166"/>
        <v>6D</v>
      </c>
      <c r="L1196">
        <f t="shared" si="167"/>
        <v>64</v>
      </c>
      <c r="M1196">
        <f t="shared" si="168"/>
        <v>130</v>
      </c>
      <c r="N1196">
        <f t="shared" si="169"/>
        <v>109</v>
      </c>
      <c r="P1196" t="str">
        <f t="shared" si="170"/>
        <v>.Viridian-bg{background-color:#40826D;}</v>
      </c>
    </row>
    <row r="1197" spans="2:16" ht="15.75">
      <c r="B1197" s="1" t="s">
        <v>2452</v>
      </c>
      <c r="C1197" t="s">
        <v>2453</v>
      </c>
      <c r="D1197">
        <v>0</v>
      </c>
      <c r="E1197">
        <v>15045</v>
      </c>
      <c r="F1197">
        <v>0</v>
      </c>
      <c r="G1197" t="str">
        <f t="shared" si="162"/>
        <v>ViridianGreen</v>
      </c>
      <c r="H1197" t="str">
        <f t="shared" si="163"/>
        <v>009698</v>
      </c>
      <c r="I1197" t="str">
        <f t="shared" si="164"/>
        <v>00</v>
      </c>
      <c r="J1197" t="str">
        <f t="shared" si="165"/>
        <v>96</v>
      </c>
      <c r="K1197" t="str">
        <f t="shared" si="166"/>
        <v>98</v>
      </c>
      <c r="L1197">
        <f t="shared" si="167"/>
        <v>0</v>
      </c>
      <c r="M1197">
        <f t="shared" si="168"/>
        <v>150</v>
      </c>
      <c r="N1197">
        <f t="shared" si="169"/>
        <v>152</v>
      </c>
      <c r="P1197" t="str">
        <f t="shared" si="170"/>
        <v>.ViridianGreen-bg{background-color:#009698;}</v>
      </c>
    </row>
    <row r="1198" spans="2:16" ht="15.75">
      <c r="B1198" s="1" t="s">
        <v>2454</v>
      </c>
      <c r="C1198" t="s">
        <v>2455</v>
      </c>
      <c r="D1198">
        <v>12495</v>
      </c>
      <c r="E1198">
        <v>15810</v>
      </c>
      <c r="F1198">
        <v>12495</v>
      </c>
      <c r="G1198" t="str">
        <f t="shared" si="162"/>
        <v>VistaBlue</v>
      </c>
      <c r="H1198" t="str">
        <f t="shared" si="163"/>
        <v>7C9ED9</v>
      </c>
      <c r="I1198" t="str">
        <f t="shared" si="164"/>
        <v>7C</v>
      </c>
      <c r="J1198" t="str">
        <f t="shared" si="165"/>
        <v>9E</v>
      </c>
      <c r="K1198" t="str">
        <f t="shared" si="166"/>
        <v>D9</v>
      </c>
      <c r="L1198">
        <f t="shared" si="167"/>
        <v>124</v>
      </c>
      <c r="M1198">
        <f t="shared" si="168"/>
        <v>158</v>
      </c>
      <c r="N1198">
        <f t="shared" si="169"/>
        <v>217</v>
      </c>
      <c r="P1198" t="str">
        <f t="shared" si="170"/>
        <v>.VistaBlue-bg{background-color:#7C9ED9;}</v>
      </c>
    </row>
    <row r="1199" spans="2:16" ht="15.75">
      <c r="B1199" s="1" t="s">
        <v>2456</v>
      </c>
      <c r="C1199" t="s">
        <v>2457</v>
      </c>
      <c r="D1199">
        <v>20400</v>
      </c>
      <c r="E1199">
        <v>15300</v>
      </c>
      <c r="F1199">
        <v>20400</v>
      </c>
      <c r="G1199" t="str">
        <f t="shared" si="162"/>
        <v>VividAmber</v>
      </c>
      <c r="H1199" t="str">
        <f t="shared" si="163"/>
        <v>CC9900</v>
      </c>
      <c r="I1199" t="str">
        <f t="shared" si="164"/>
        <v>CC</v>
      </c>
      <c r="J1199" t="str">
        <f t="shared" si="165"/>
        <v>99</v>
      </c>
      <c r="K1199" t="str">
        <f t="shared" si="166"/>
        <v>00</v>
      </c>
      <c r="L1199">
        <f t="shared" si="167"/>
        <v>204</v>
      </c>
      <c r="M1199">
        <f t="shared" si="168"/>
        <v>153</v>
      </c>
      <c r="N1199">
        <f t="shared" si="169"/>
        <v>0</v>
      </c>
      <c r="P1199" t="str">
        <f t="shared" si="170"/>
        <v>.VividAmber-bg{background-color:#CC9900;}</v>
      </c>
    </row>
    <row r="1200" spans="2:16" ht="15.75">
      <c r="B1200" s="1" t="s">
        <v>2458</v>
      </c>
      <c r="C1200" t="s">
        <v>2459</v>
      </c>
      <c r="D1200">
        <v>14535</v>
      </c>
      <c r="E1200">
        <v>3825</v>
      </c>
      <c r="F1200">
        <v>14535</v>
      </c>
      <c r="G1200" t="str">
        <f t="shared" si="162"/>
        <v>VividAuburn</v>
      </c>
      <c r="H1200" t="str">
        <f t="shared" si="163"/>
        <v>922724</v>
      </c>
      <c r="I1200" t="str">
        <f t="shared" si="164"/>
        <v>92</v>
      </c>
      <c r="J1200" t="str">
        <f t="shared" si="165"/>
        <v>27</v>
      </c>
      <c r="K1200" t="str">
        <f t="shared" si="166"/>
        <v>24</v>
      </c>
      <c r="L1200">
        <f t="shared" si="167"/>
        <v>146</v>
      </c>
      <c r="M1200">
        <f t="shared" si="168"/>
        <v>39</v>
      </c>
      <c r="N1200">
        <f t="shared" si="169"/>
        <v>36</v>
      </c>
      <c r="P1200" t="str">
        <f t="shared" si="170"/>
        <v>.VividAuburn-bg{background-color:#922724;}</v>
      </c>
    </row>
    <row r="1201" spans="2:16" ht="15.75">
      <c r="B1201" s="1" t="s">
        <v>2460</v>
      </c>
      <c r="C1201" t="s">
        <v>2461</v>
      </c>
      <c r="D1201">
        <v>15810</v>
      </c>
      <c r="E1201">
        <v>2805</v>
      </c>
      <c r="F1201">
        <v>15810</v>
      </c>
      <c r="G1201" t="str">
        <f t="shared" si="162"/>
        <v>VividBurgundy</v>
      </c>
      <c r="H1201" t="str">
        <f t="shared" si="163"/>
        <v>9F1D35</v>
      </c>
      <c r="I1201" t="str">
        <f t="shared" si="164"/>
        <v>9F</v>
      </c>
      <c r="J1201" t="str">
        <f t="shared" si="165"/>
        <v>1D</v>
      </c>
      <c r="K1201" t="str">
        <f t="shared" si="166"/>
        <v>35</v>
      </c>
      <c r="L1201">
        <f t="shared" si="167"/>
        <v>159</v>
      </c>
      <c r="M1201">
        <f t="shared" si="168"/>
        <v>29</v>
      </c>
      <c r="N1201">
        <f t="shared" si="169"/>
        <v>53</v>
      </c>
      <c r="P1201" t="str">
        <f t="shared" si="170"/>
        <v>.VividBurgundy-bg{background-color:#9F1D35;}</v>
      </c>
    </row>
    <row r="1202" spans="2:16" ht="15.75">
      <c r="B1202" s="1" t="s">
        <v>2462</v>
      </c>
      <c r="C1202" t="s">
        <v>2463</v>
      </c>
      <c r="D1202">
        <v>21675</v>
      </c>
      <c r="E1202">
        <v>2805</v>
      </c>
      <c r="F1202">
        <v>21675</v>
      </c>
      <c r="G1202" t="str">
        <f t="shared" si="162"/>
        <v>VividCerise</v>
      </c>
      <c r="H1202" t="str">
        <f t="shared" si="163"/>
        <v>DA1D81</v>
      </c>
      <c r="I1202" t="str">
        <f t="shared" si="164"/>
        <v>DA</v>
      </c>
      <c r="J1202" t="str">
        <f t="shared" si="165"/>
        <v>1D</v>
      </c>
      <c r="K1202" t="str">
        <f t="shared" si="166"/>
        <v>81</v>
      </c>
      <c r="L1202">
        <f t="shared" si="167"/>
        <v>218</v>
      </c>
      <c r="M1202">
        <f t="shared" si="168"/>
        <v>29</v>
      </c>
      <c r="N1202">
        <f t="shared" si="169"/>
        <v>129</v>
      </c>
      <c r="P1202" t="str">
        <f t="shared" si="170"/>
        <v>.VividCerise-bg{background-color:#DA1D81;}</v>
      </c>
    </row>
    <row r="1203" spans="2:16" ht="15.75">
      <c r="B1203" s="1" t="s">
        <v>2464</v>
      </c>
      <c r="C1203" t="s">
        <v>2465</v>
      </c>
      <c r="D1203">
        <v>0</v>
      </c>
      <c r="E1203">
        <v>17085</v>
      </c>
      <c r="F1203">
        <v>0</v>
      </c>
      <c r="G1203" t="str">
        <f t="shared" si="162"/>
        <v>VividCerulean</v>
      </c>
      <c r="H1203" t="str">
        <f t="shared" si="163"/>
        <v>00AAEE</v>
      </c>
      <c r="I1203" t="str">
        <f t="shared" si="164"/>
        <v>00</v>
      </c>
      <c r="J1203" t="str">
        <f t="shared" si="165"/>
        <v>AA</v>
      </c>
      <c r="K1203" t="str">
        <f t="shared" si="166"/>
        <v>EE</v>
      </c>
      <c r="L1203">
        <f t="shared" si="167"/>
        <v>0</v>
      </c>
      <c r="M1203">
        <f t="shared" si="168"/>
        <v>170</v>
      </c>
      <c r="N1203">
        <f t="shared" si="169"/>
        <v>238</v>
      </c>
      <c r="P1203" t="str">
        <f t="shared" si="170"/>
        <v>.VividCerulean-bg{background-color:#00AAEE;}</v>
      </c>
    </row>
    <row r="1204" spans="2:16" ht="15.75">
      <c r="B1204" s="1" t="s">
        <v>2466</v>
      </c>
      <c r="C1204" t="s">
        <v>2467</v>
      </c>
      <c r="D1204">
        <v>20400</v>
      </c>
      <c r="E1204">
        <v>0</v>
      </c>
      <c r="F1204">
        <v>20400</v>
      </c>
      <c r="G1204" t="str">
        <f t="shared" si="162"/>
        <v>VividCrimson</v>
      </c>
      <c r="H1204" t="str">
        <f t="shared" si="163"/>
        <v>CC0033</v>
      </c>
      <c r="I1204" t="str">
        <f t="shared" si="164"/>
        <v>CC</v>
      </c>
      <c r="J1204" t="str">
        <f t="shared" si="165"/>
        <v>00</v>
      </c>
      <c r="K1204" t="str">
        <f t="shared" si="166"/>
        <v>33</v>
      </c>
      <c r="L1204">
        <f t="shared" si="167"/>
        <v>204</v>
      </c>
      <c r="M1204">
        <f t="shared" si="168"/>
        <v>0</v>
      </c>
      <c r="N1204">
        <f t="shared" si="169"/>
        <v>51</v>
      </c>
      <c r="P1204" t="str">
        <f t="shared" si="170"/>
        <v>.VividCrimson-bg{background-color:#CC0033;}</v>
      </c>
    </row>
    <row r="1205" spans="2:16" ht="15.75">
      <c r="B1205" s="1" t="s">
        <v>2468</v>
      </c>
      <c r="C1205" t="s">
        <v>2469</v>
      </c>
      <c r="D1205">
        <v>25500</v>
      </c>
      <c r="E1205">
        <v>15300</v>
      </c>
      <c r="F1205">
        <v>25500</v>
      </c>
      <c r="G1205" t="str">
        <f t="shared" si="162"/>
        <v>VividGamboge</v>
      </c>
      <c r="H1205" t="str">
        <f t="shared" si="163"/>
        <v>FF9900</v>
      </c>
      <c r="I1205" t="str">
        <f t="shared" si="164"/>
        <v>FF</v>
      </c>
      <c r="J1205" t="str">
        <f t="shared" si="165"/>
        <v>99</v>
      </c>
      <c r="K1205" t="str">
        <f t="shared" si="166"/>
        <v>00</v>
      </c>
      <c r="L1205">
        <f t="shared" si="167"/>
        <v>255</v>
      </c>
      <c r="M1205">
        <f t="shared" si="168"/>
        <v>153</v>
      </c>
      <c r="N1205">
        <f t="shared" si="169"/>
        <v>0</v>
      </c>
      <c r="P1205" t="str">
        <f t="shared" si="170"/>
        <v>.VividGamboge-bg{background-color:#FF9900;}</v>
      </c>
    </row>
    <row r="1206" spans="2:16" ht="15.75">
      <c r="B1206" s="1" t="s">
        <v>2470</v>
      </c>
      <c r="C1206" t="s">
        <v>2471</v>
      </c>
      <c r="D1206">
        <v>16575</v>
      </c>
      <c r="E1206">
        <v>21420</v>
      </c>
      <c r="F1206">
        <v>16575</v>
      </c>
      <c r="G1206" t="str">
        <f t="shared" si="162"/>
        <v>VividLimeGreen</v>
      </c>
      <c r="H1206" t="str">
        <f t="shared" si="163"/>
        <v>A6D608</v>
      </c>
      <c r="I1206" t="str">
        <f t="shared" si="164"/>
        <v>A6</v>
      </c>
      <c r="J1206" t="str">
        <f t="shared" si="165"/>
        <v>D6</v>
      </c>
      <c r="K1206" t="str">
        <f t="shared" si="166"/>
        <v>08</v>
      </c>
      <c r="L1206">
        <f t="shared" si="167"/>
        <v>166</v>
      </c>
      <c r="M1206">
        <f t="shared" si="168"/>
        <v>214</v>
      </c>
      <c r="N1206">
        <f t="shared" si="169"/>
        <v>8</v>
      </c>
      <c r="P1206" t="str">
        <f t="shared" si="170"/>
        <v>.VividLimeGreen-bg{background-color:#A6D608;}</v>
      </c>
    </row>
    <row r="1207" spans="2:16" ht="15.75">
      <c r="B1207" s="1" t="s">
        <v>2472</v>
      </c>
      <c r="C1207" t="s">
        <v>2473</v>
      </c>
      <c r="D1207">
        <v>0</v>
      </c>
      <c r="E1207">
        <v>20400</v>
      </c>
      <c r="F1207">
        <v>0</v>
      </c>
      <c r="G1207" t="str">
        <f t="shared" si="162"/>
        <v>VividMalachite</v>
      </c>
      <c r="H1207" t="str">
        <f t="shared" si="163"/>
        <v>00CC33</v>
      </c>
      <c r="I1207" t="str">
        <f t="shared" si="164"/>
        <v>00</v>
      </c>
      <c r="J1207" t="str">
        <f t="shared" si="165"/>
        <v>CC</v>
      </c>
      <c r="K1207" t="str">
        <f t="shared" si="166"/>
        <v>33</v>
      </c>
      <c r="L1207">
        <f t="shared" si="167"/>
        <v>0</v>
      </c>
      <c r="M1207">
        <f t="shared" si="168"/>
        <v>204</v>
      </c>
      <c r="N1207">
        <f t="shared" si="169"/>
        <v>51</v>
      </c>
      <c r="P1207" t="str">
        <f t="shared" si="170"/>
        <v>.VividMalachite-bg{background-color:#00CC33;}</v>
      </c>
    </row>
    <row r="1208" spans="2:16" ht="15.75">
      <c r="B1208" s="1" t="s">
        <v>2474</v>
      </c>
      <c r="C1208" t="s">
        <v>2475</v>
      </c>
      <c r="D1208">
        <v>18360</v>
      </c>
      <c r="E1208">
        <v>1275</v>
      </c>
      <c r="F1208">
        <v>18360</v>
      </c>
      <c r="G1208" t="str">
        <f t="shared" si="162"/>
        <v>VividMulberry</v>
      </c>
      <c r="H1208" t="str">
        <f t="shared" si="163"/>
        <v>B80CE3</v>
      </c>
      <c r="I1208" t="str">
        <f t="shared" si="164"/>
        <v>B8</v>
      </c>
      <c r="J1208" t="str">
        <f t="shared" si="165"/>
        <v>0C</v>
      </c>
      <c r="K1208" t="str">
        <f t="shared" si="166"/>
        <v>E3</v>
      </c>
      <c r="L1208">
        <f t="shared" si="167"/>
        <v>184</v>
      </c>
      <c r="M1208">
        <f t="shared" si="168"/>
        <v>12</v>
      </c>
      <c r="N1208">
        <f t="shared" si="169"/>
        <v>227</v>
      </c>
      <c r="P1208" t="str">
        <f t="shared" si="170"/>
        <v>.VividMulberry-bg{background-color:#B80CE3;}</v>
      </c>
    </row>
    <row r="1209" spans="2:16" ht="15.75">
      <c r="B1209" s="1" t="s">
        <v>2476</v>
      </c>
      <c r="C1209" t="s">
        <v>2477</v>
      </c>
      <c r="D1209">
        <v>25500</v>
      </c>
      <c r="E1209">
        <v>9435</v>
      </c>
      <c r="F1209">
        <v>25500</v>
      </c>
      <c r="G1209" t="str">
        <f t="shared" si="162"/>
        <v>VividOrange</v>
      </c>
      <c r="H1209" t="str">
        <f t="shared" si="163"/>
        <v>FF5F00</v>
      </c>
      <c r="I1209" t="str">
        <f t="shared" si="164"/>
        <v>FF</v>
      </c>
      <c r="J1209" t="str">
        <f t="shared" si="165"/>
        <v>5F</v>
      </c>
      <c r="K1209" t="str">
        <f t="shared" si="166"/>
        <v>00</v>
      </c>
      <c r="L1209">
        <f t="shared" si="167"/>
        <v>255</v>
      </c>
      <c r="M1209">
        <f t="shared" si="168"/>
        <v>95</v>
      </c>
      <c r="N1209">
        <f t="shared" si="169"/>
        <v>0</v>
      </c>
      <c r="P1209" t="str">
        <f t="shared" si="170"/>
        <v>.VividOrange-bg{background-color:#FF5F00;}</v>
      </c>
    </row>
    <row r="1210" spans="2:16" ht="15.75">
      <c r="B1210" s="1" t="s">
        <v>2478</v>
      </c>
      <c r="C1210" t="s">
        <v>2479</v>
      </c>
      <c r="D1210">
        <v>25500</v>
      </c>
      <c r="E1210">
        <v>16065</v>
      </c>
      <c r="F1210">
        <v>25500</v>
      </c>
      <c r="G1210" t="str">
        <f t="shared" si="162"/>
        <v>VividOrangePeel</v>
      </c>
      <c r="H1210" t="str">
        <f t="shared" si="163"/>
        <v>FFA000</v>
      </c>
      <c r="I1210" t="str">
        <f t="shared" si="164"/>
        <v>FF</v>
      </c>
      <c r="J1210" t="str">
        <f t="shared" si="165"/>
        <v>A0</v>
      </c>
      <c r="K1210" t="str">
        <f t="shared" si="166"/>
        <v>00</v>
      </c>
      <c r="L1210">
        <f t="shared" si="167"/>
        <v>255</v>
      </c>
      <c r="M1210">
        <f t="shared" si="168"/>
        <v>160</v>
      </c>
      <c r="N1210">
        <f t="shared" si="169"/>
        <v>0</v>
      </c>
      <c r="P1210" t="str">
        <f t="shared" si="170"/>
        <v>.VividOrangePeel-bg{background-color:#FFA000;}</v>
      </c>
    </row>
    <row r="1211" spans="2:16" ht="15.75">
      <c r="B1211" s="1" t="s">
        <v>2480</v>
      </c>
      <c r="C1211" t="s">
        <v>2481</v>
      </c>
      <c r="D1211">
        <v>20400</v>
      </c>
      <c r="E1211">
        <v>0</v>
      </c>
      <c r="F1211">
        <v>20400</v>
      </c>
      <c r="G1211" t="str">
        <f t="shared" si="162"/>
        <v>VividOrchid</v>
      </c>
      <c r="H1211" t="str">
        <f t="shared" si="163"/>
        <v>CC00FF</v>
      </c>
      <c r="I1211" t="str">
        <f t="shared" si="164"/>
        <v>CC</v>
      </c>
      <c r="J1211" t="str">
        <f t="shared" si="165"/>
        <v>00</v>
      </c>
      <c r="K1211" t="str">
        <f t="shared" si="166"/>
        <v>FF</v>
      </c>
      <c r="L1211">
        <f t="shared" si="167"/>
        <v>204</v>
      </c>
      <c r="M1211">
        <f t="shared" si="168"/>
        <v>0</v>
      </c>
      <c r="N1211">
        <f t="shared" si="169"/>
        <v>255</v>
      </c>
      <c r="P1211" t="str">
        <f t="shared" si="170"/>
        <v>.VividOrchid-bg{background-color:#CC00FF;}</v>
      </c>
    </row>
    <row r="1212" spans="2:16" ht="15.75">
      <c r="B1212" s="1" t="s">
        <v>2482</v>
      </c>
      <c r="C1212" t="s">
        <v>2483</v>
      </c>
      <c r="D1212">
        <v>25500</v>
      </c>
      <c r="E1212">
        <v>0</v>
      </c>
      <c r="F1212">
        <v>25500</v>
      </c>
      <c r="G1212" t="str">
        <f t="shared" si="162"/>
        <v>VividRaspberry</v>
      </c>
      <c r="H1212" t="str">
        <f t="shared" si="163"/>
        <v>FF006C</v>
      </c>
      <c r="I1212" t="str">
        <f t="shared" si="164"/>
        <v>FF</v>
      </c>
      <c r="J1212" t="str">
        <f t="shared" si="165"/>
        <v>00</v>
      </c>
      <c r="K1212" t="str">
        <f t="shared" si="166"/>
        <v>6C</v>
      </c>
      <c r="L1212">
        <f t="shared" si="167"/>
        <v>255</v>
      </c>
      <c r="M1212">
        <f t="shared" si="168"/>
        <v>0</v>
      </c>
      <c r="N1212">
        <f t="shared" si="169"/>
        <v>108</v>
      </c>
      <c r="P1212" t="str">
        <f t="shared" si="170"/>
        <v>.VividRaspberry-bg{background-color:#FF006C;}</v>
      </c>
    </row>
    <row r="1213" spans="2:16" ht="15.75">
      <c r="B1213" s="1" t="s">
        <v>2484</v>
      </c>
      <c r="C1213" t="s">
        <v>2485</v>
      </c>
      <c r="D1213">
        <v>24735</v>
      </c>
      <c r="E1213">
        <v>1275</v>
      </c>
      <c r="F1213">
        <v>24735</v>
      </c>
      <c r="G1213" t="str">
        <f t="shared" si="162"/>
        <v>VividRed</v>
      </c>
      <c r="H1213" t="str">
        <f t="shared" si="163"/>
        <v>F70D1A</v>
      </c>
      <c r="I1213" t="str">
        <f t="shared" si="164"/>
        <v>F7</v>
      </c>
      <c r="J1213" t="str">
        <f t="shared" si="165"/>
        <v>0D</v>
      </c>
      <c r="K1213" t="str">
        <f t="shared" si="166"/>
        <v>1A</v>
      </c>
      <c r="L1213">
        <f t="shared" si="167"/>
        <v>247</v>
      </c>
      <c r="M1213">
        <f t="shared" si="168"/>
        <v>13</v>
      </c>
      <c r="N1213">
        <f t="shared" si="169"/>
        <v>26</v>
      </c>
      <c r="P1213" t="str">
        <f t="shared" si="170"/>
        <v>.VividRed-bg{background-color:#F70D1A;}</v>
      </c>
    </row>
    <row r="1214" spans="2:16" ht="15.75">
      <c r="B1214" s="1" t="s">
        <v>2486</v>
      </c>
      <c r="C1214" t="s">
        <v>2487</v>
      </c>
      <c r="D1214">
        <v>22185</v>
      </c>
      <c r="E1214">
        <v>9690</v>
      </c>
      <c r="F1214">
        <v>22185</v>
      </c>
      <c r="G1214" t="str">
        <f t="shared" si="162"/>
        <v>VividRedtangelo</v>
      </c>
      <c r="H1214" t="str">
        <f t="shared" si="163"/>
        <v>DF6124</v>
      </c>
      <c r="I1214" t="str">
        <f t="shared" si="164"/>
        <v>DF</v>
      </c>
      <c r="J1214" t="str">
        <f t="shared" si="165"/>
        <v>61</v>
      </c>
      <c r="K1214" t="str">
        <f t="shared" si="166"/>
        <v>24</v>
      </c>
      <c r="L1214">
        <f t="shared" si="167"/>
        <v>223</v>
      </c>
      <c r="M1214">
        <f t="shared" si="168"/>
        <v>97</v>
      </c>
      <c r="N1214">
        <f t="shared" si="169"/>
        <v>36</v>
      </c>
      <c r="P1214" t="str">
        <f t="shared" si="170"/>
        <v>.VividRedtangelo-bg{background-color:#DF6124;}</v>
      </c>
    </row>
    <row r="1215" spans="2:16" ht="15.75">
      <c r="B1215" s="1" t="s">
        <v>2488</v>
      </c>
      <c r="C1215" t="s">
        <v>2489</v>
      </c>
      <c r="D1215">
        <v>0</v>
      </c>
      <c r="E1215">
        <v>20400</v>
      </c>
      <c r="F1215">
        <v>0</v>
      </c>
      <c r="G1215" t="str">
        <f t="shared" si="162"/>
        <v>VividSkyBlue</v>
      </c>
      <c r="H1215" t="str">
        <f t="shared" si="163"/>
        <v>00CCFF</v>
      </c>
      <c r="I1215" t="str">
        <f t="shared" si="164"/>
        <v>00</v>
      </c>
      <c r="J1215" t="str">
        <f t="shared" si="165"/>
        <v>CC</v>
      </c>
      <c r="K1215" t="str">
        <f t="shared" si="166"/>
        <v>FF</v>
      </c>
      <c r="L1215">
        <f t="shared" si="167"/>
        <v>0</v>
      </c>
      <c r="M1215">
        <f t="shared" si="168"/>
        <v>204</v>
      </c>
      <c r="N1215">
        <f t="shared" si="169"/>
        <v>255</v>
      </c>
      <c r="P1215" t="str">
        <f t="shared" si="170"/>
        <v>.VividSkyBlue-bg{background-color:#00CCFF;}</v>
      </c>
    </row>
    <row r="1216" spans="2:16" ht="15.75">
      <c r="B1216" s="1" t="s">
        <v>2490</v>
      </c>
      <c r="C1216" t="s">
        <v>2491</v>
      </c>
      <c r="D1216">
        <v>23970</v>
      </c>
      <c r="E1216">
        <v>11475</v>
      </c>
      <c r="F1216">
        <v>23970</v>
      </c>
      <c r="G1216" t="str">
        <f t="shared" si="162"/>
        <v>VividTangelo</v>
      </c>
      <c r="H1216" t="str">
        <f t="shared" si="163"/>
        <v>F07427</v>
      </c>
      <c r="I1216" t="str">
        <f t="shared" si="164"/>
        <v>F0</v>
      </c>
      <c r="J1216" t="str">
        <f t="shared" si="165"/>
        <v>74</v>
      </c>
      <c r="K1216" t="str">
        <f t="shared" si="166"/>
        <v>27</v>
      </c>
      <c r="L1216">
        <f t="shared" si="167"/>
        <v>240</v>
      </c>
      <c r="M1216">
        <f t="shared" si="168"/>
        <v>116</v>
      </c>
      <c r="N1216">
        <f t="shared" si="169"/>
        <v>39</v>
      </c>
      <c r="P1216" t="str">
        <f t="shared" si="170"/>
        <v>.VividTangelo-bg{background-color:#F07427;}</v>
      </c>
    </row>
    <row r="1217" spans="2:16" ht="15.75">
      <c r="B1217" s="1" t="s">
        <v>2492</v>
      </c>
      <c r="C1217" t="s">
        <v>2493</v>
      </c>
      <c r="D1217">
        <v>25500</v>
      </c>
      <c r="E1217">
        <v>16065</v>
      </c>
      <c r="F1217">
        <v>25500</v>
      </c>
      <c r="G1217" t="str">
        <f t="shared" si="162"/>
        <v>VividTangerine</v>
      </c>
      <c r="H1217" t="str">
        <f t="shared" si="163"/>
        <v>FFA089</v>
      </c>
      <c r="I1217" t="str">
        <f t="shared" si="164"/>
        <v>FF</v>
      </c>
      <c r="J1217" t="str">
        <f t="shared" si="165"/>
        <v>A0</v>
      </c>
      <c r="K1217" t="str">
        <f t="shared" si="166"/>
        <v>89</v>
      </c>
      <c r="L1217">
        <f t="shared" si="167"/>
        <v>255</v>
      </c>
      <c r="M1217">
        <f t="shared" si="168"/>
        <v>160</v>
      </c>
      <c r="N1217">
        <f t="shared" si="169"/>
        <v>137</v>
      </c>
      <c r="P1217" t="str">
        <f t="shared" si="170"/>
        <v>.VividTangerine-bg{background-color:#FFA089;}</v>
      </c>
    </row>
    <row r="1218" spans="2:16" ht="15.75">
      <c r="B1218" s="1" t="s">
        <v>2494</v>
      </c>
      <c r="C1218" t="s">
        <v>2495</v>
      </c>
      <c r="D1218">
        <v>22950</v>
      </c>
      <c r="E1218">
        <v>9690</v>
      </c>
      <c r="F1218">
        <v>22950</v>
      </c>
      <c r="G1218" t="str">
        <f t="shared" si="162"/>
        <v>VividVermilion</v>
      </c>
      <c r="H1218" t="str">
        <f t="shared" si="163"/>
        <v>E56024</v>
      </c>
      <c r="I1218" t="str">
        <f t="shared" si="164"/>
        <v>E5</v>
      </c>
      <c r="J1218" t="str">
        <f t="shared" si="165"/>
        <v>60</v>
      </c>
      <c r="K1218" t="str">
        <f t="shared" si="166"/>
        <v>24</v>
      </c>
      <c r="L1218">
        <f t="shared" si="167"/>
        <v>229</v>
      </c>
      <c r="M1218">
        <f t="shared" si="168"/>
        <v>96</v>
      </c>
      <c r="N1218">
        <f t="shared" si="169"/>
        <v>36</v>
      </c>
      <c r="P1218" t="str">
        <f t="shared" si="170"/>
        <v>.VividVermilion-bg{background-color:#E56024;}</v>
      </c>
    </row>
    <row r="1219" spans="2:16" ht="15.75">
      <c r="B1219" s="1" t="s">
        <v>2496</v>
      </c>
      <c r="C1219" t="s">
        <v>2497</v>
      </c>
      <c r="D1219">
        <v>15810</v>
      </c>
      <c r="E1219">
        <v>0</v>
      </c>
      <c r="F1219">
        <v>15810</v>
      </c>
      <c r="G1219" t="str">
        <f t="shared" si="162"/>
        <v>VividViolet</v>
      </c>
      <c r="H1219" t="str">
        <f t="shared" si="163"/>
        <v>9F00FF</v>
      </c>
      <c r="I1219" t="str">
        <f t="shared" si="164"/>
        <v>9F</v>
      </c>
      <c r="J1219" t="str">
        <f t="shared" si="165"/>
        <v>00</v>
      </c>
      <c r="K1219" t="str">
        <f t="shared" si="166"/>
        <v>FF</v>
      </c>
      <c r="L1219">
        <f t="shared" si="167"/>
        <v>159</v>
      </c>
      <c r="M1219">
        <f t="shared" si="168"/>
        <v>0</v>
      </c>
      <c r="N1219">
        <f t="shared" si="169"/>
        <v>255</v>
      </c>
      <c r="P1219" t="str">
        <f t="shared" si="170"/>
        <v>.VividViolet-bg{background-color:#9F00FF;}</v>
      </c>
    </row>
    <row r="1220" spans="2:16" ht="15.75">
      <c r="B1220" s="1" t="s">
        <v>2498</v>
      </c>
      <c r="C1220" t="s">
        <v>2499</v>
      </c>
      <c r="D1220">
        <v>25500</v>
      </c>
      <c r="E1220">
        <v>22695</v>
      </c>
      <c r="F1220">
        <v>25500</v>
      </c>
      <c r="G1220" t="str">
        <f t="shared" ref="G1220:G1258" si="171">SUBSTITUTE(PROPER(AlphaNumericOnly(B1220))," ","")</f>
        <v>VividYellow</v>
      </c>
      <c r="H1220" t="str">
        <f t="shared" ref="H1220:H1258" si="172">RIGHT(C1220,6)</f>
        <v>FFE302</v>
      </c>
      <c r="I1220" t="str">
        <f t="shared" ref="I1220:I1258" si="173">MID($H1220,1,2)</f>
        <v>FF</v>
      </c>
      <c r="J1220" t="str">
        <f t="shared" ref="J1220:J1258" si="174">MID($H1220,3,2)</f>
        <v>E3</v>
      </c>
      <c r="K1220" t="str">
        <f t="shared" ref="K1220:K1258" si="175">MID($H1220,5,2)</f>
        <v>02</v>
      </c>
      <c r="L1220">
        <f t="shared" ref="L1220:L1258" si="176">HEX2DEC(I1220)</f>
        <v>255</v>
      </c>
      <c r="M1220">
        <f t="shared" ref="M1220:M1258" si="177">HEX2DEC(J1220)</f>
        <v>227</v>
      </c>
      <c r="N1220">
        <f t="shared" ref="N1220:N1258" si="178">HEX2DEC(K1220)</f>
        <v>2</v>
      </c>
      <c r="P1220" t="str">
        <f t="shared" ref="P1220:P1258" si="179">"."&amp;G1220&amp;$P$1&amp;"{"&amp;$P$2&amp;":#"&amp;H1220&amp;";}"</f>
        <v>.VividYellow-bg{background-color:#FFE302;}</v>
      </c>
    </row>
    <row r="1221" spans="2:16" ht="15.75">
      <c r="B1221" s="1" t="s">
        <v>2500</v>
      </c>
      <c r="C1221" t="s">
        <v>2501</v>
      </c>
      <c r="D1221">
        <v>20400</v>
      </c>
      <c r="E1221">
        <v>25500</v>
      </c>
      <c r="F1221">
        <v>20400</v>
      </c>
      <c r="G1221" t="str">
        <f t="shared" si="171"/>
        <v>Volt</v>
      </c>
      <c r="H1221" t="str">
        <f t="shared" si="172"/>
        <v>CEFF00</v>
      </c>
      <c r="I1221" t="str">
        <f t="shared" si="173"/>
        <v>CE</v>
      </c>
      <c r="J1221" t="str">
        <f t="shared" si="174"/>
        <v>FF</v>
      </c>
      <c r="K1221" t="str">
        <f t="shared" si="175"/>
        <v>00</v>
      </c>
      <c r="L1221">
        <f t="shared" si="176"/>
        <v>206</v>
      </c>
      <c r="M1221">
        <f t="shared" si="177"/>
        <v>255</v>
      </c>
      <c r="N1221">
        <f t="shared" si="178"/>
        <v>0</v>
      </c>
      <c r="P1221" t="str">
        <f t="shared" si="179"/>
        <v>.Volt-bg{background-color:#CEFF00;}</v>
      </c>
    </row>
    <row r="1222" spans="2:16" ht="15.75">
      <c r="B1222" s="1" t="s">
        <v>2502</v>
      </c>
      <c r="C1222" t="s">
        <v>2503</v>
      </c>
      <c r="D1222">
        <v>0</v>
      </c>
      <c r="E1222">
        <v>6630</v>
      </c>
      <c r="F1222">
        <v>0</v>
      </c>
      <c r="G1222" t="str">
        <f t="shared" si="171"/>
        <v>WarmBlack</v>
      </c>
      <c r="H1222" t="str">
        <f t="shared" si="172"/>
        <v>004242</v>
      </c>
      <c r="I1222" t="str">
        <f t="shared" si="173"/>
        <v>00</v>
      </c>
      <c r="J1222" t="str">
        <f t="shared" si="174"/>
        <v>42</v>
      </c>
      <c r="K1222" t="str">
        <f t="shared" si="175"/>
        <v>42</v>
      </c>
      <c r="L1222">
        <f t="shared" si="176"/>
        <v>0</v>
      </c>
      <c r="M1222">
        <f t="shared" si="177"/>
        <v>66</v>
      </c>
      <c r="N1222">
        <f t="shared" si="178"/>
        <v>66</v>
      </c>
      <c r="P1222" t="str">
        <f t="shared" si="179"/>
        <v>.WarmBlack-bg{background-color:#004242;}</v>
      </c>
    </row>
    <row r="1223" spans="2:16" ht="15.75">
      <c r="B1223" s="1" t="s">
        <v>2504</v>
      </c>
      <c r="C1223" t="s">
        <v>2505</v>
      </c>
      <c r="D1223">
        <v>16320</v>
      </c>
      <c r="E1223">
        <v>24480</v>
      </c>
      <c r="F1223">
        <v>16320</v>
      </c>
      <c r="G1223" t="str">
        <f t="shared" si="171"/>
        <v>Waterspout</v>
      </c>
      <c r="H1223" t="str">
        <f t="shared" si="172"/>
        <v>A4F4F9</v>
      </c>
      <c r="I1223" t="str">
        <f t="shared" si="173"/>
        <v>A4</v>
      </c>
      <c r="J1223" t="str">
        <f t="shared" si="174"/>
        <v>F4</v>
      </c>
      <c r="K1223" t="str">
        <f t="shared" si="175"/>
        <v>F9</v>
      </c>
      <c r="L1223">
        <f t="shared" si="176"/>
        <v>164</v>
      </c>
      <c r="M1223">
        <f t="shared" si="177"/>
        <v>244</v>
      </c>
      <c r="N1223">
        <f t="shared" si="178"/>
        <v>249</v>
      </c>
      <c r="P1223" t="str">
        <f t="shared" si="179"/>
        <v>.Waterspout-bg{background-color:#A4F4F9;}</v>
      </c>
    </row>
    <row r="1224" spans="2:16" ht="15.75">
      <c r="B1224" s="1" t="s">
        <v>2506</v>
      </c>
      <c r="C1224" t="s">
        <v>2507</v>
      </c>
      <c r="D1224">
        <v>12495</v>
      </c>
      <c r="E1224">
        <v>15300</v>
      </c>
      <c r="F1224">
        <v>12495</v>
      </c>
      <c r="G1224" t="str">
        <f t="shared" si="171"/>
        <v>WeldonBlue</v>
      </c>
      <c r="H1224" t="str">
        <f t="shared" si="172"/>
        <v>7C98AB</v>
      </c>
      <c r="I1224" t="str">
        <f t="shared" si="173"/>
        <v>7C</v>
      </c>
      <c r="J1224" t="str">
        <f t="shared" si="174"/>
        <v>98</v>
      </c>
      <c r="K1224" t="str">
        <f t="shared" si="175"/>
        <v>AB</v>
      </c>
      <c r="L1224">
        <f t="shared" si="176"/>
        <v>124</v>
      </c>
      <c r="M1224">
        <f t="shared" si="177"/>
        <v>152</v>
      </c>
      <c r="N1224">
        <f t="shared" si="178"/>
        <v>171</v>
      </c>
      <c r="P1224" t="str">
        <f t="shared" si="179"/>
        <v>.WeldonBlue-bg{background-color:#7C98AB;}</v>
      </c>
    </row>
    <row r="1225" spans="2:16" ht="15.75">
      <c r="B1225" s="1" t="s">
        <v>2508</v>
      </c>
      <c r="C1225" t="s">
        <v>2509</v>
      </c>
      <c r="D1225">
        <v>9945</v>
      </c>
      <c r="E1225">
        <v>8415</v>
      </c>
      <c r="F1225">
        <v>9945</v>
      </c>
      <c r="G1225" t="str">
        <f t="shared" si="171"/>
        <v>Wenge</v>
      </c>
      <c r="H1225" t="str">
        <f t="shared" si="172"/>
        <v>645452</v>
      </c>
      <c r="I1225" t="str">
        <f t="shared" si="173"/>
        <v>64</v>
      </c>
      <c r="J1225" t="str">
        <f t="shared" si="174"/>
        <v>54</v>
      </c>
      <c r="K1225" t="str">
        <f t="shared" si="175"/>
        <v>52</v>
      </c>
      <c r="L1225">
        <f t="shared" si="176"/>
        <v>100</v>
      </c>
      <c r="M1225">
        <f t="shared" si="177"/>
        <v>84</v>
      </c>
      <c r="N1225">
        <f t="shared" si="178"/>
        <v>82</v>
      </c>
      <c r="P1225" t="str">
        <f t="shared" si="179"/>
        <v>.Wenge-bg{background-color:#645452;}</v>
      </c>
    </row>
    <row r="1226" spans="2:16" ht="15.75">
      <c r="B1226" s="1" t="s">
        <v>2510</v>
      </c>
      <c r="C1226" t="s">
        <v>2511</v>
      </c>
      <c r="D1226">
        <v>24480</v>
      </c>
      <c r="E1226">
        <v>22185</v>
      </c>
      <c r="F1226">
        <v>24480</v>
      </c>
      <c r="G1226" t="str">
        <f t="shared" si="171"/>
        <v>Wheat</v>
      </c>
      <c r="H1226" t="str">
        <f t="shared" si="172"/>
        <v>F5DEB3</v>
      </c>
      <c r="I1226" t="str">
        <f t="shared" si="173"/>
        <v>F5</v>
      </c>
      <c r="J1226" t="str">
        <f t="shared" si="174"/>
        <v>DE</v>
      </c>
      <c r="K1226" t="str">
        <f t="shared" si="175"/>
        <v>B3</v>
      </c>
      <c r="L1226">
        <f t="shared" si="176"/>
        <v>245</v>
      </c>
      <c r="M1226">
        <f t="shared" si="177"/>
        <v>222</v>
      </c>
      <c r="N1226">
        <f t="shared" si="178"/>
        <v>179</v>
      </c>
      <c r="P1226" t="str">
        <f t="shared" si="179"/>
        <v>.Wheat-bg{background-color:#F5DEB3;}</v>
      </c>
    </row>
    <row r="1227" spans="2:16" ht="15.75">
      <c r="B1227" s="1" t="s">
        <v>2512</v>
      </c>
      <c r="C1227" t="s">
        <v>2513</v>
      </c>
      <c r="D1227">
        <v>25500</v>
      </c>
      <c r="E1227">
        <v>25500</v>
      </c>
      <c r="F1227">
        <v>25500</v>
      </c>
      <c r="G1227" t="str">
        <f t="shared" si="171"/>
        <v>White</v>
      </c>
      <c r="H1227" t="str">
        <f t="shared" si="172"/>
        <v>FFFFFF</v>
      </c>
      <c r="I1227" t="str">
        <f t="shared" si="173"/>
        <v>FF</v>
      </c>
      <c r="J1227" t="str">
        <f t="shared" si="174"/>
        <v>FF</v>
      </c>
      <c r="K1227" t="str">
        <f t="shared" si="175"/>
        <v>FF</v>
      </c>
      <c r="L1227">
        <f t="shared" si="176"/>
        <v>255</v>
      </c>
      <c r="M1227">
        <f t="shared" si="177"/>
        <v>255</v>
      </c>
      <c r="N1227">
        <f t="shared" si="178"/>
        <v>255</v>
      </c>
      <c r="P1227" t="str">
        <f t="shared" si="179"/>
        <v>.White-bg{background-color:#FFFFFF;}</v>
      </c>
    </row>
    <row r="1228" spans="2:16" ht="15.75">
      <c r="B1228" s="1" t="s">
        <v>2514</v>
      </c>
      <c r="C1228" t="s">
        <v>710</v>
      </c>
      <c r="D1228">
        <v>24480</v>
      </c>
      <c r="E1228">
        <v>24480</v>
      </c>
      <c r="F1228">
        <v>24480</v>
      </c>
      <c r="G1228" t="str">
        <f t="shared" si="171"/>
        <v>WhiteSmoke</v>
      </c>
      <c r="H1228" t="str">
        <f t="shared" si="172"/>
        <v>F5F5F5</v>
      </c>
      <c r="I1228" t="str">
        <f t="shared" si="173"/>
        <v>F5</v>
      </c>
      <c r="J1228" t="str">
        <f t="shared" si="174"/>
        <v>F5</v>
      </c>
      <c r="K1228" t="str">
        <f t="shared" si="175"/>
        <v>F5</v>
      </c>
      <c r="L1228">
        <f t="shared" si="176"/>
        <v>245</v>
      </c>
      <c r="M1228">
        <f t="shared" si="177"/>
        <v>245</v>
      </c>
      <c r="N1228">
        <f t="shared" si="178"/>
        <v>245</v>
      </c>
      <c r="P1228" t="str">
        <f t="shared" si="179"/>
        <v>.WhiteSmoke-bg{background-color:#F5F5F5;}</v>
      </c>
    </row>
    <row r="1229" spans="2:16" ht="15.75">
      <c r="B1229" s="1" t="s">
        <v>2515</v>
      </c>
      <c r="C1229" t="s">
        <v>2516</v>
      </c>
      <c r="D1229">
        <v>16320</v>
      </c>
      <c r="E1229">
        <v>17340</v>
      </c>
      <c r="F1229">
        <v>16320</v>
      </c>
      <c r="G1229" t="str">
        <f t="shared" si="171"/>
        <v>WildBlueYonder</v>
      </c>
      <c r="H1229" t="str">
        <f t="shared" si="172"/>
        <v>A2ADD0</v>
      </c>
      <c r="I1229" t="str">
        <f t="shared" si="173"/>
        <v>A2</v>
      </c>
      <c r="J1229" t="str">
        <f t="shared" si="174"/>
        <v>AD</v>
      </c>
      <c r="K1229" t="str">
        <f t="shared" si="175"/>
        <v>D0</v>
      </c>
      <c r="L1229">
        <f t="shared" si="176"/>
        <v>162</v>
      </c>
      <c r="M1229">
        <f t="shared" si="177"/>
        <v>173</v>
      </c>
      <c r="N1229">
        <f t="shared" si="178"/>
        <v>208</v>
      </c>
      <c r="P1229" t="str">
        <f t="shared" si="179"/>
        <v>.WildBlueYonder-bg{background-color:#A2ADD0;}</v>
      </c>
    </row>
    <row r="1230" spans="2:16" ht="15.75">
      <c r="B1230" s="1" t="s">
        <v>2517</v>
      </c>
      <c r="C1230" t="s">
        <v>2518</v>
      </c>
      <c r="D1230">
        <v>21165</v>
      </c>
      <c r="E1230">
        <v>11220</v>
      </c>
      <c r="F1230">
        <v>21165</v>
      </c>
      <c r="G1230" t="str">
        <f t="shared" si="171"/>
        <v>WildOrchid</v>
      </c>
      <c r="H1230" t="str">
        <f t="shared" si="172"/>
        <v>D470A2</v>
      </c>
      <c r="I1230" t="str">
        <f t="shared" si="173"/>
        <v>D4</v>
      </c>
      <c r="J1230" t="str">
        <f t="shared" si="174"/>
        <v>70</v>
      </c>
      <c r="K1230" t="str">
        <f t="shared" si="175"/>
        <v>A2</v>
      </c>
      <c r="L1230">
        <f t="shared" si="176"/>
        <v>212</v>
      </c>
      <c r="M1230">
        <f t="shared" si="177"/>
        <v>112</v>
      </c>
      <c r="N1230">
        <f t="shared" si="178"/>
        <v>162</v>
      </c>
      <c r="P1230" t="str">
        <f t="shared" si="179"/>
        <v>.WildOrchid-bg{background-color:#D470A2;}</v>
      </c>
    </row>
    <row r="1231" spans="2:16" ht="15.75">
      <c r="B1231" s="1" t="s">
        <v>2519</v>
      </c>
      <c r="C1231" t="s">
        <v>2520</v>
      </c>
      <c r="D1231">
        <v>25500</v>
      </c>
      <c r="E1231">
        <v>6630</v>
      </c>
      <c r="F1231">
        <v>25500</v>
      </c>
      <c r="G1231" t="str">
        <f t="shared" si="171"/>
        <v>WildStrawberry</v>
      </c>
      <c r="H1231" t="str">
        <f t="shared" si="172"/>
        <v>FF43A4</v>
      </c>
      <c r="I1231" t="str">
        <f t="shared" si="173"/>
        <v>FF</v>
      </c>
      <c r="J1231" t="str">
        <f t="shared" si="174"/>
        <v>43</v>
      </c>
      <c r="K1231" t="str">
        <f t="shared" si="175"/>
        <v>A4</v>
      </c>
      <c r="L1231">
        <f t="shared" si="176"/>
        <v>255</v>
      </c>
      <c r="M1231">
        <f t="shared" si="177"/>
        <v>67</v>
      </c>
      <c r="N1231">
        <f t="shared" si="178"/>
        <v>164</v>
      </c>
      <c r="P1231" t="str">
        <f t="shared" si="179"/>
        <v>.WildStrawberry-bg{background-color:#FF43A4;}</v>
      </c>
    </row>
    <row r="1232" spans="2:16" ht="15.75">
      <c r="B1232" s="1" t="s">
        <v>2521</v>
      </c>
      <c r="C1232" t="s">
        <v>2390</v>
      </c>
      <c r="D1232">
        <v>25245</v>
      </c>
      <c r="E1232">
        <v>10710</v>
      </c>
      <c r="F1232">
        <v>25245</v>
      </c>
      <c r="G1232" t="str">
        <f t="shared" si="171"/>
        <v>WildWatermelon</v>
      </c>
      <c r="H1232" t="str">
        <f t="shared" si="172"/>
        <v>FC6C85</v>
      </c>
      <c r="I1232" t="str">
        <f t="shared" si="173"/>
        <v>FC</v>
      </c>
      <c r="J1232" t="str">
        <f t="shared" si="174"/>
        <v>6C</v>
      </c>
      <c r="K1232" t="str">
        <f t="shared" si="175"/>
        <v>85</v>
      </c>
      <c r="L1232">
        <f t="shared" si="176"/>
        <v>252</v>
      </c>
      <c r="M1232">
        <f t="shared" si="177"/>
        <v>108</v>
      </c>
      <c r="N1232">
        <f t="shared" si="178"/>
        <v>133</v>
      </c>
      <c r="P1232" t="str">
        <f t="shared" si="179"/>
        <v>.WildWatermelon-bg{background-color:#FC6C85;}</v>
      </c>
    </row>
    <row r="1233" spans="2:16" ht="15.75">
      <c r="B1233" s="1" t="s">
        <v>2522</v>
      </c>
      <c r="C1233" t="s">
        <v>2523</v>
      </c>
      <c r="D1233">
        <v>25245</v>
      </c>
      <c r="E1233">
        <v>8925</v>
      </c>
      <c r="F1233">
        <v>25245</v>
      </c>
      <c r="G1233" t="str">
        <f t="shared" si="171"/>
        <v>WillpowerOrange</v>
      </c>
      <c r="H1233" t="str">
        <f t="shared" si="172"/>
        <v>FD5800</v>
      </c>
      <c r="I1233" t="str">
        <f t="shared" si="173"/>
        <v>FD</v>
      </c>
      <c r="J1233" t="str">
        <f t="shared" si="174"/>
        <v>58</v>
      </c>
      <c r="K1233" t="str">
        <f t="shared" si="175"/>
        <v>00</v>
      </c>
      <c r="L1233">
        <f t="shared" si="176"/>
        <v>253</v>
      </c>
      <c r="M1233">
        <f t="shared" si="177"/>
        <v>88</v>
      </c>
      <c r="N1233">
        <f t="shared" si="178"/>
        <v>0</v>
      </c>
      <c r="P1233" t="str">
        <f t="shared" si="179"/>
        <v>.WillpowerOrange-bg{background-color:#FD5800;}</v>
      </c>
    </row>
    <row r="1234" spans="2:16" ht="15.75">
      <c r="B1234" s="1" t="s">
        <v>2524</v>
      </c>
      <c r="C1234" t="s">
        <v>2525</v>
      </c>
      <c r="D1234">
        <v>16575</v>
      </c>
      <c r="E1234">
        <v>8415</v>
      </c>
      <c r="F1234">
        <v>16575</v>
      </c>
      <c r="G1234" t="str">
        <f t="shared" si="171"/>
        <v>WindsorTan</v>
      </c>
      <c r="H1234" t="str">
        <f t="shared" si="172"/>
        <v>A75502</v>
      </c>
      <c r="I1234" t="str">
        <f t="shared" si="173"/>
        <v>A7</v>
      </c>
      <c r="J1234" t="str">
        <f t="shared" si="174"/>
        <v>55</v>
      </c>
      <c r="K1234" t="str">
        <f t="shared" si="175"/>
        <v>02</v>
      </c>
      <c r="L1234">
        <f t="shared" si="176"/>
        <v>167</v>
      </c>
      <c r="M1234">
        <f t="shared" si="177"/>
        <v>85</v>
      </c>
      <c r="N1234">
        <f t="shared" si="178"/>
        <v>2</v>
      </c>
      <c r="P1234" t="str">
        <f t="shared" si="179"/>
        <v>.WindsorTan-bg{background-color:#A75502;}</v>
      </c>
    </row>
    <row r="1235" spans="2:16" ht="15.75">
      <c r="B1235" s="1" t="s">
        <v>2526</v>
      </c>
      <c r="C1235" t="s">
        <v>1915</v>
      </c>
      <c r="D1235">
        <v>11475</v>
      </c>
      <c r="E1235">
        <v>4590</v>
      </c>
      <c r="F1235">
        <v>11475</v>
      </c>
      <c r="G1235" t="str">
        <f t="shared" si="171"/>
        <v>Wine</v>
      </c>
      <c r="H1235" t="str">
        <f t="shared" si="172"/>
        <v>722F37</v>
      </c>
      <c r="I1235" t="str">
        <f t="shared" si="173"/>
        <v>72</v>
      </c>
      <c r="J1235" t="str">
        <f t="shared" si="174"/>
        <v>2F</v>
      </c>
      <c r="K1235" t="str">
        <f t="shared" si="175"/>
        <v>37</v>
      </c>
      <c r="L1235">
        <f t="shared" si="176"/>
        <v>114</v>
      </c>
      <c r="M1235">
        <f t="shared" si="177"/>
        <v>47</v>
      </c>
      <c r="N1235">
        <f t="shared" si="178"/>
        <v>55</v>
      </c>
      <c r="P1235" t="str">
        <f t="shared" si="179"/>
        <v>.Wine-bg{background-color:#722F37;}</v>
      </c>
    </row>
    <row r="1236" spans="2:16" ht="15.75">
      <c r="B1236" s="1" t="s">
        <v>2527</v>
      </c>
      <c r="C1236" t="s">
        <v>1674</v>
      </c>
      <c r="D1236">
        <v>10200</v>
      </c>
      <c r="E1236">
        <v>4845</v>
      </c>
      <c r="F1236">
        <v>10200</v>
      </c>
      <c r="G1236" t="str">
        <f t="shared" si="171"/>
        <v>WineDregs</v>
      </c>
      <c r="H1236" t="str">
        <f t="shared" si="172"/>
        <v>673147</v>
      </c>
      <c r="I1236" t="str">
        <f t="shared" si="173"/>
        <v>67</v>
      </c>
      <c r="J1236" t="str">
        <f t="shared" si="174"/>
        <v>31</v>
      </c>
      <c r="K1236" t="str">
        <f t="shared" si="175"/>
        <v>47</v>
      </c>
      <c r="L1236">
        <f t="shared" si="176"/>
        <v>103</v>
      </c>
      <c r="M1236">
        <f t="shared" si="177"/>
        <v>49</v>
      </c>
      <c r="N1236">
        <f t="shared" si="178"/>
        <v>71</v>
      </c>
      <c r="P1236" t="str">
        <f t="shared" si="179"/>
        <v>.WineDregs-bg{background-color:#673147;}</v>
      </c>
    </row>
    <row r="1237" spans="2:16" ht="15.75">
      <c r="B1237" s="1" t="s">
        <v>2528</v>
      </c>
      <c r="C1237" t="s">
        <v>2529</v>
      </c>
      <c r="D1237">
        <v>25500</v>
      </c>
      <c r="E1237">
        <v>0</v>
      </c>
      <c r="F1237">
        <v>25500</v>
      </c>
      <c r="G1237" t="str">
        <f t="shared" si="171"/>
        <v>WinterSky</v>
      </c>
      <c r="H1237" t="str">
        <f t="shared" si="172"/>
        <v>FF007C</v>
      </c>
      <c r="I1237" t="str">
        <f t="shared" si="173"/>
        <v>FF</v>
      </c>
      <c r="J1237" t="str">
        <f t="shared" si="174"/>
        <v>00</v>
      </c>
      <c r="K1237" t="str">
        <f t="shared" si="175"/>
        <v>7C</v>
      </c>
      <c r="L1237">
        <f t="shared" si="176"/>
        <v>255</v>
      </c>
      <c r="M1237">
        <f t="shared" si="177"/>
        <v>0</v>
      </c>
      <c r="N1237">
        <f t="shared" si="178"/>
        <v>124</v>
      </c>
      <c r="P1237" t="str">
        <f t="shared" si="179"/>
        <v>.WinterSky-bg{background-color:#FF007C;}</v>
      </c>
    </row>
    <row r="1238" spans="2:16" ht="15.75">
      <c r="B1238" s="1" t="s">
        <v>2530</v>
      </c>
      <c r="C1238" t="s">
        <v>2531</v>
      </c>
      <c r="D1238">
        <v>16065</v>
      </c>
      <c r="E1238">
        <v>22950</v>
      </c>
      <c r="F1238">
        <v>16065</v>
      </c>
      <c r="G1238" t="str">
        <f t="shared" si="171"/>
        <v>WinterWizard</v>
      </c>
      <c r="H1238" t="str">
        <f t="shared" si="172"/>
        <v>A0E6FF</v>
      </c>
      <c r="I1238" t="str">
        <f t="shared" si="173"/>
        <v>A0</v>
      </c>
      <c r="J1238" t="str">
        <f t="shared" si="174"/>
        <v>E6</v>
      </c>
      <c r="K1238" t="str">
        <f t="shared" si="175"/>
        <v>FF</v>
      </c>
      <c r="L1238">
        <f t="shared" si="176"/>
        <v>160</v>
      </c>
      <c r="M1238">
        <f t="shared" si="177"/>
        <v>230</v>
      </c>
      <c r="N1238">
        <f t="shared" si="178"/>
        <v>255</v>
      </c>
      <c r="P1238" t="str">
        <f t="shared" si="179"/>
        <v>.WinterWizard-bg{background-color:#A0E6FF;}</v>
      </c>
    </row>
    <row r="1239" spans="2:16" ht="15.75">
      <c r="B1239" s="1" t="s">
        <v>2532</v>
      </c>
      <c r="C1239" t="s">
        <v>2533</v>
      </c>
      <c r="D1239">
        <v>8670</v>
      </c>
      <c r="E1239">
        <v>13515</v>
      </c>
      <c r="F1239">
        <v>8670</v>
      </c>
      <c r="G1239" t="str">
        <f t="shared" si="171"/>
        <v>WintergreenDream</v>
      </c>
      <c r="H1239" t="str">
        <f t="shared" si="172"/>
        <v>56887D</v>
      </c>
      <c r="I1239" t="str">
        <f t="shared" si="173"/>
        <v>56</v>
      </c>
      <c r="J1239" t="str">
        <f t="shared" si="174"/>
        <v>88</v>
      </c>
      <c r="K1239" t="str">
        <f t="shared" si="175"/>
        <v>7D</v>
      </c>
      <c r="L1239">
        <f t="shared" si="176"/>
        <v>86</v>
      </c>
      <c r="M1239">
        <f t="shared" si="177"/>
        <v>136</v>
      </c>
      <c r="N1239">
        <f t="shared" si="178"/>
        <v>125</v>
      </c>
      <c r="P1239" t="str">
        <f t="shared" si="179"/>
        <v>.WintergreenDream-bg{background-color:#56887D;}</v>
      </c>
    </row>
    <row r="1240" spans="2:16" ht="15.75">
      <c r="B1240" s="1" t="s">
        <v>2534</v>
      </c>
      <c r="C1240" t="s">
        <v>2535</v>
      </c>
      <c r="D1240">
        <v>20145</v>
      </c>
      <c r="E1240">
        <v>16065</v>
      </c>
      <c r="F1240">
        <v>20145</v>
      </c>
      <c r="G1240" t="str">
        <f t="shared" si="171"/>
        <v>Wisteria</v>
      </c>
      <c r="H1240" t="str">
        <f t="shared" si="172"/>
        <v>C9A0DC</v>
      </c>
      <c r="I1240" t="str">
        <f t="shared" si="173"/>
        <v>C9</v>
      </c>
      <c r="J1240" t="str">
        <f t="shared" si="174"/>
        <v>A0</v>
      </c>
      <c r="K1240" t="str">
        <f t="shared" si="175"/>
        <v>DC</v>
      </c>
      <c r="L1240">
        <f t="shared" si="176"/>
        <v>201</v>
      </c>
      <c r="M1240">
        <f t="shared" si="177"/>
        <v>160</v>
      </c>
      <c r="N1240">
        <f t="shared" si="178"/>
        <v>220</v>
      </c>
      <c r="P1240" t="str">
        <f t="shared" si="179"/>
        <v>.Wisteria-bg{background-color:#C9A0DC;}</v>
      </c>
    </row>
    <row r="1241" spans="2:16" ht="15.75">
      <c r="B1241" s="1" t="s">
        <v>2536</v>
      </c>
      <c r="C1241" t="s">
        <v>534</v>
      </c>
      <c r="D1241">
        <v>19380</v>
      </c>
      <c r="E1241">
        <v>15300</v>
      </c>
      <c r="F1241">
        <v>19380</v>
      </c>
      <c r="G1241" t="str">
        <f t="shared" si="171"/>
        <v>WoodBrown</v>
      </c>
      <c r="H1241" t="str">
        <f t="shared" si="172"/>
        <v>C19A6B</v>
      </c>
      <c r="I1241" t="str">
        <f t="shared" si="173"/>
        <v>C1</v>
      </c>
      <c r="J1241" t="str">
        <f t="shared" si="174"/>
        <v>9A</v>
      </c>
      <c r="K1241" t="str">
        <f t="shared" si="175"/>
        <v>6B</v>
      </c>
      <c r="L1241">
        <f t="shared" si="176"/>
        <v>193</v>
      </c>
      <c r="M1241">
        <f t="shared" si="177"/>
        <v>154</v>
      </c>
      <c r="N1241">
        <f t="shared" si="178"/>
        <v>107</v>
      </c>
      <c r="P1241" t="str">
        <f t="shared" si="179"/>
        <v>.WoodBrown-bg{background-color:#C19A6B;}</v>
      </c>
    </row>
    <row r="1242" spans="2:16" ht="15.75">
      <c r="B1242" s="1" t="s">
        <v>2537</v>
      </c>
      <c r="C1242" t="s">
        <v>2538</v>
      </c>
      <c r="D1242">
        <v>11475</v>
      </c>
      <c r="E1242">
        <v>13515</v>
      </c>
      <c r="F1242">
        <v>11475</v>
      </c>
      <c r="G1242" t="str">
        <f t="shared" si="171"/>
        <v>Xanadu</v>
      </c>
      <c r="H1242" t="str">
        <f t="shared" si="172"/>
        <v>738678</v>
      </c>
      <c r="I1242" t="str">
        <f t="shared" si="173"/>
        <v>73</v>
      </c>
      <c r="J1242" t="str">
        <f t="shared" si="174"/>
        <v>86</v>
      </c>
      <c r="K1242" t="str">
        <f t="shared" si="175"/>
        <v>78</v>
      </c>
      <c r="L1242">
        <f t="shared" si="176"/>
        <v>115</v>
      </c>
      <c r="M1242">
        <f t="shared" si="177"/>
        <v>134</v>
      </c>
      <c r="N1242">
        <f t="shared" si="178"/>
        <v>120</v>
      </c>
      <c r="P1242" t="str">
        <f t="shared" si="179"/>
        <v>.Xanadu-bg{background-color:#738678;}</v>
      </c>
    </row>
    <row r="1243" spans="2:16" ht="15.75">
      <c r="B1243" s="1" t="s">
        <v>2539</v>
      </c>
      <c r="C1243" t="s">
        <v>2540</v>
      </c>
      <c r="D1243">
        <v>1530</v>
      </c>
      <c r="E1243">
        <v>7650</v>
      </c>
      <c r="F1243">
        <v>1530</v>
      </c>
      <c r="G1243" t="str">
        <f t="shared" si="171"/>
        <v>YaleBlue</v>
      </c>
      <c r="H1243" t="str">
        <f t="shared" si="172"/>
        <v>0F4D92</v>
      </c>
      <c r="I1243" t="str">
        <f t="shared" si="173"/>
        <v>0F</v>
      </c>
      <c r="J1243" t="str">
        <f t="shared" si="174"/>
        <v>4D</v>
      </c>
      <c r="K1243" t="str">
        <f t="shared" si="175"/>
        <v>92</v>
      </c>
      <c r="L1243">
        <f t="shared" si="176"/>
        <v>15</v>
      </c>
      <c r="M1243">
        <f t="shared" si="177"/>
        <v>77</v>
      </c>
      <c r="N1243">
        <f t="shared" si="178"/>
        <v>146</v>
      </c>
      <c r="P1243" t="str">
        <f t="shared" si="179"/>
        <v>.YaleBlue-bg{background-color:#0F4D92;}</v>
      </c>
    </row>
    <row r="1244" spans="2:16" ht="15.75">
      <c r="B1244" s="1" t="s">
        <v>2541</v>
      </c>
      <c r="C1244" t="s">
        <v>2542</v>
      </c>
      <c r="D1244">
        <v>2805</v>
      </c>
      <c r="E1244">
        <v>4080</v>
      </c>
      <c r="F1244">
        <v>2805</v>
      </c>
      <c r="G1244" t="str">
        <f t="shared" si="171"/>
        <v>YankeesBlue</v>
      </c>
      <c r="H1244" t="str">
        <f t="shared" si="172"/>
        <v>1C2841</v>
      </c>
      <c r="I1244" t="str">
        <f t="shared" si="173"/>
        <v>1C</v>
      </c>
      <c r="J1244" t="str">
        <f t="shared" si="174"/>
        <v>28</v>
      </c>
      <c r="K1244" t="str">
        <f t="shared" si="175"/>
        <v>41</v>
      </c>
      <c r="L1244">
        <f t="shared" si="176"/>
        <v>28</v>
      </c>
      <c r="M1244">
        <f t="shared" si="177"/>
        <v>40</v>
      </c>
      <c r="N1244">
        <f t="shared" si="178"/>
        <v>65</v>
      </c>
      <c r="P1244" t="str">
        <f t="shared" si="179"/>
        <v>.YankeesBlue-bg{background-color:#1C2841;}</v>
      </c>
    </row>
    <row r="1245" spans="2:16" ht="15.75">
      <c r="B1245" s="1" t="s">
        <v>2543</v>
      </c>
      <c r="C1245" t="s">
        <v>2544</v>
      </c>
      <c r="D1245">
        <v>25500</v>
      </c>
      <c r="E1245">
        <v>25500</v>
      </c>
      <c r="F1245">
        <v>25500</v>
      </c>
      <c r="G1245" t="str">
        <f t="shared" si="171"/>
        <v>Yellow</v>
      </c>
      <c r="H1245" t="str">
        <f t="shared" si="172"/>
        <v>FFFF00</v>
      </c>
      <c r="I1245" t="str">
        <f t="shared" si="173"/>
        <v>FF</v>
      </c>
      <c r="J1245" t="str">
        <f t="shared" si="174"/>
        <v>FF</v>
      </c>
      <c r="K1245" t="str">
        <f t="shared" si="175"/>
        <v>00</v>
      </c>
      <c r="L1245">
        <f t="shared" si="176"/>
        <v>255</v>
      </c>
      <c r="M1245">
        <f t="shared" si="177"/>
        <v>255</v>
      </c>
      <c r="N1245">
        <f t="shared" si="178"/>
        <v>0</v>
      </c>
      <c r="P1245" t="str">
        <f t="shared" si="179"/>
        <v>.Yellow-bg{background-color:#FFFF00;}</v>
      </c>
    </row>
    <row r="1246" spans="2:16" ht="15.75">
      <c r="B1246" s="1" t="s">
        <v>2545</v>
      </c>
      <c r="C1246" t="s">
        <v>2546</v>
      </c>
      <c r="D1246">
        <v>25245</v>
      </c>
      <c r="E1246">
        <v>23205</v>
      </c>
      <c r="F1246">
        <v>25245</v>
      </c>
      <c r="G1246" t="str">
        <f t="shared" si="171"/>
        <v>YellowCrayola</v>
      </c>
      <c r="H1246" t="str">
        <f t="shared" si="172"/>
        <v>FCE883</v>
      </c>
      <c r="I1246" t="str">
        <f t="shared" si="173"/>
        <v>FC</v>
      </c>
      <c r="J1246" t="str">
        <f t="shared" si="174"/>
        <v>E8</v>
      </c>
      <c r="K1246" t="str">
        <f t="shared" si="175"/>
        <v>83</v>
      </c>
      <c r="L1246">
        <f t="shared" si="176"/>
        <v>252</v>
      </c>
      <c r="M1246">
        <f t="shared" si="177"/>
        <v>232</v>
      </c>
      <c r="N1246">
        <f t="shared" si="178"/>
        <v>131</v>
      </c>
      <c r="P1246" t="str">
        <f t="shared" si="179"/>
        <v>.YellowCrayola-bg{background-color:#FCE883;}</v>
      </c>
    </row>
    <row r="1247" spans="2:16" ht="15.75">
      <c r="B1247" s="1" t="s">
        <v>2547</v>
      </c>
      <c r="C1247" t="s">
        <v>2548</v>
      </c>
      <c r="D1247">
        <v>23970</v>
      </c>
      <c r="E1247">
        <v>20400</v>
      </c>
      <c r="F1247">
        <v>23970</v>
      </c>
      <c r="G1247" t="str">
        <f t="shared" si="171"/>
        <v>YellowMunsell</v>
      </c>
      <c r="H1247" t="str">
        <f t="shared" si="172"/>
        <v>EFCC00</v>
      </c>
      <c r="I1247" t="str">
        <f t="shared" si="173"/>
        <v>EF</v>
      </c>
      <c r="J1247" t="str">
        <f t="shared" si="174"/>
        <v>CC</v>
      </c>
      <c r="K1247" t="str">
        <f t="shared" si="175"/>
        <v>00</v>
      </c>
      <c r="L1247">
        <f t="shared" si="176"/>
        <v>239</v>
      </c>
      <c r="M1247">
        <f t="shared" si="177"/>
        <v>204</v>
      </c>
      <c r="N1247">
        <f t="shared" si="178"/>
        <v>0</v>
      </c>
      <c r="P1247" t="str">
        <f t="shared" si="179"/>
        <v>.YellowMunsell-bg{background-color:#EFCC00;}</v>
      </c>
    </row>
    <row r="1248" spans="2:16" ht="15.75">
      <c r="B1248" s="1" t="s">
        <v>2549</v>
      </c>
      <c r="C1248" t="s">
        <v>725</v>
      </c>
      <c r="D1248">
        <v>25500</v>
      </c>
      <c r="E1248">
        <v>21165</v>
      </c>
      <c r="F1248">
        <v>25500</v>
      </c>
      <c r="G1248" t="str">
        <f t="shared" si="171"/>
        <v>YellowNcs</v>
      </c>
      <c r="H1248" t="str">
        <f t="shared" si="172"/>
        <v>FFD300</v>
      </c>
      <c r="I1248" t="str">
        <f t="shared" si="173"/>
        <v>FF</v>
      </c>
      <c r="J1248" t="str">
        <f t="shared" si="174"/>
        <v>D3</v>
      </c>
      <c r="K1248" t="str">
        <f t="shared" si="175"/>
        <v>00</v>
      </c>
      <c r="L1248">
        <f t="shared" si="176"/>
        <v>255</v>
      </c>
      <c r="M1248">
        <f t="shared" si="177"/>
        <v>211</v>
      </c>
      <c r="N1248">
        <f t="shared" si="178"/>
        <v>0</v>
      </c>
      <c r="P1248" t="str">
        <f t="shared" si="179"/>
        <v>.YellowNcs-bg{background-color:#FFD300;}</v>
      </c>
    </row>
    <row r="1249" spans="2:16" ht="15.75">
      <c r="B1249" s="1" t="s">
        <v>2550</v>
      </c>
      <c r="C1249" t="s">
        <v>2551</v>
      </c>
      <c r="D1249">
        <v>25500</v>
      </c>
      <c r="E1249">
        <v>22185</v>
      </c>
      <c r="F1249">
        <v>25500</v>
      </c>
      <c r="G1249" t="str">
        <f t="shared" si="171"/>
        <v>YellowPantone</v>
      </c>
      <c r="H1249" t="str">
        <f t="shared" si="172"/>
        <v>FEDF00</v>
      </c>
      <c r="I1249" t="str">
        <f t="shared" si="173"/>
        <v>FE</v>
      </c>
      <c r="J1249" t="str">
        <f t="shared" si="174"/>
        <v>DF</v>
      </c>
      <c r="K1249" t="str">
        <f t="shared" si="175"/>
        <v>00</v>
      </c>
      <c r="L1249">
        <f t="shared" si="176"/>
        <v>254</v>
      </c>
      <c r="M1249">
        <f t="shared" si="177"/>
        <v>223</v>
      </c>
      <c r="N1249">
        <f t="shared" si="178"/>
        <v>0</v>
      </c>
      <c r="P1249" t="str">
        <f t="shared" si="179"/>
        <v>.YellowPantone-bg{background-color:#FEDF00;}</v>
      </c>
    </row>
    <row r="1250" spans="2:16" ht="15.75">
      <c r="B1250" s="1" t="s">
        <v>2552</v>
      </c>
      <c r="C1250" t="s">
        <v>540</v>
      </c>
      <c r="D1250">
        <v>25500</v>
      </c>
      <c r="E1250">
        <v>23970</v>
      </c>
      <c r="F1250">
        <v>25500</v>
      </c>
      <c r="G1250" t="str">
        <f t="shared" si="171"/>
        <v>YellowProcess</v>
      </c>
      <c r="H1250" t="str">
        <f t="shared" si="172"/>
        <v>FFEF00</v>
      </c>
      <c r="I1250" t="str">
        <f t="shared" si="173"/>
        <v>FF</v>
      </c>
      <c r="J1250" t="str">
        <f t="shared" si="174"/>
        <v>EF</v>
      </c>
      <c r="K1250" t="str">
        <f t="shared" si="175"/>
        <v>00</v>
      </c>
      <c r="L1250">
        <f t="shared" si="176"/>
        <v>255</v>
      </c>
      <c r="M1250">
        <f t="shared" si="177"/>
        <v>239</v>
      </c>
      <c r="N1250">
        <f t="shared" si="178"/>
        <v>0</v>
      </c>
      <c r="P1250" t="str">
        <f t="shared" si="179"/>
        <v>.YellowProcess-bg{background-color:#FFEF00;}</v>
      </c>
    </row>
    <row r="1251" spans="2:16" ht="15.75">
      <c r="B1251" s="1" t="s">
        <v>2553</v>
      </c>
      <c r="C1251" t="s">
        <v>2554</v>
      </c>
      <c r="D1251">
        <v>25500</v>
      </c>
      <c r="E1251">
        <v>25500</v>
      </c>
      <c r="F1251">
        <v>25500</v>
      </c>
      <c r="G1251" t="str">
        <f t="shared" si="171"/>
        <v>YellowRyb</v>
      </c>
      <c r="H1251" t="str">
        <f t="shared" si="172"/>
        <v>FEFE33</v>
      </c>
      <c r="I1251" t="str">
        <f t="shared" si="173"/>
        <v>FE</v>
      </c>
      <c r="J1251" t="str">
        <f t="shared" si="174"/>
        <v>FE</v>
      </c>
      <c r="K1251" t="str">
        <f t="shared" si="175"/>
        <v>33</v>
      </c>
      <c r="L1251">
        <f t="shared" si="176"/>
        <v>254</v>
      </c>
      <c r="M1251">
        <f t="shared" si="177"/>
        <v>254</v>
      </c>
      <c r="N1251">
        <f t="shared" si="178"/>
        <v>51</v>
      </c>
      <c r="P1251" t="str">
        <f t="shared" si="179"/>
        <v>.YellowRyb-bg{background-color:#FEFE33;}</v>
      </c>
    </row>
    <row r="1252" spans="2:16" ht="15.75">
      <c r="B1252" s="1" t="s">
        <v>2555</v>
      </c>
      <c r="C1252" t="s">
        <v>2556</v>
      </c>
      <c r="D1252">
        <v>15300</v>
      </c>
      <c r="E1252">
        <v>20400</v>
      </c>
      <c r="F1252">
        <v>15300</v>
      </c>
      <c r="G1252" t="str">
        <f t="shared" si="171"/>
        <v>Yellowgreen</v>
      </c>
      <c r="H1252" t="str">
        <f t="shared" si="172"/>
        <v>9ACD32</v>
      </c>
      <c r="I1252" t="str">
        <f t="shared" si="173"/>
        <v>9A</v>
      </c>
      <c r="J1252" t="str">
        <f t="shared" si="174"/>
        <v>CD</v>
      </c>
      <c r="K1252" t="str">
        <f t="shared" si="175"/>
        <v>32</v>
      </c>
      <c r="L1252">
        <f t="shared" si="176"/>
        <v>154</v>
      </c>
      <c r="M1252">
        <f t="shared" si="177"/>
        <v>205</v>
      </c>
      <c r="N1252">
        <f t="shared" si="178"/>
        <v>50</v>
      </c>
      <c r="P1252" t="str">
        <f t="shared" si="179"/>
        <v>.Yellowgreen-bg{background-color:#9ACD32;}</v>
      </c>
    </row>
    <row r="1253" spans="2:16" ht="15.75">
      <c r="B1253" s="1" t="s">
        <v>2557</v>
      </c>
      <c r="C1253" t="s">
        <v>2558</v>
      </c>
      <c r="D1253">
        <v>25500</v>
      </c>
      <c r="E1253">
        <v>17340</v>
      </c>
      <c r="F1253">
        <v>25500</v>
      </c>
      <c r="G1253" t="str">
        <f t="shared" si="171"/>
        <v>YellowOrange</v>
      </c>
      <c r="H1253" t="str">
        <f t="shared" si="172"/>
        <v>FFAE42</v>
      </c>
      <c r="I1253" t="str">
        <f t="shared" si="173"/>
        <v>FF</v>
      </c>
      <c r="J1253" t="str">
        <f t="shared" si="174"/>
        <v>AE</v>
      </c>
      <c r="K1253" t="str">
        <f t="shared" si="175"/>
        <v>42</v>
      </c>
      <c r="L1253">
        <f t="shared" si="176"/>
        <v>255</v>
      </c>
      <c r="M1253">
        <f t="shared" si="177"/>
        <v>174</v>
      </c>
      <c r="N1253">
        <f t="shared" si="178"/>
        <v>66</v>
      </c>
      <c r="P1253" t="str">
        <f t="shared" si="179"/>
        <v>.YellowOrange-bg{background-color:#FFAE42;}</v>
      </c>
    </row>
    <row r="1254" spans="2:16" ht="15.75">
      <c r="B1254" s="1" t="s">
        <v>2559</v>
      </c>
      <c r="C1254" t="s">
        <v>2560</v>
      </c>
      <c r="D1254">
        <v>25500</v>
      </c>
      <c r="E1254">
        <v>23970</v>
      </c>
      <c r="F1254">
        <v>25500</v>
      </c>
      <c r="G1254" t="str">
        <f t="shared" si="171"/>
        <v>YellowRose</v>
      </c>
      <c r="H1254" t="str">
        <f t="shared" si="172"/>
        <v>FFF000</v>
      </c>
      <c r="I1254" t="str">
        <f t="shared" si="173"/>
        <v>FF</v>
      </c>
      <c r="J1254" t="str">
        <f t="shared" si="174"/>
        <v>F0</v>
      </c>
      <c r="K1254" t="str">
        <f t="shared" si="175"/>
        <v>00</v>
      </c>
      <c r="L1254">
        <f t="shared" si="176"/>
        <v>255</v>
      </c>
      <c r="M1254">
        <f t="shared" si="177"/>
        <v>240</v>
      </c>
      <c r="N1254">
        <f t="shared" si="178"/>
        <v>0</v>
      </c>
      <c r="P1254" t="str">
        <f t="shared" si="179"/>
        <v>.YellowRose-bg{background-color:#FFF000;}</v>
      </c>
    </row>
    <row r="1255" spans="2:16" ht="15.75">
      <c r="B1255" s="1" t="s">
        <v>2561</v>
      </c>
      <c r="C1255" t="s">
        <v>1343</v>
      </c>
      <c r="D1255">
        <v>25500</v>
      </c>
      <c r="E1255">
        <v>24735</v>
      </c>
      <c r="F1255">
        <v>25500</v>
      </c>
      <c r="G1255" t="str">
        <f t="shared" si="171"/>
        <v>YellowSunshine</v>
      </c>
      <c r="H1255" t="str">
        <f t="shared" si="172"/>
        <v>FFF700</v>
      </c>
      <c r="I1255" t="str">
        <f t="shared" si="173"/>
        <v>FF</v>
      </c>
      <c r="J1255" t="str">
        <f t="shared" si="174"/>
        <v>F7</v>
      </c>
      <c r="K1255" t="str">
        <f t="shared" si="175"/>
        <v>00</v>
      </c>
      <c r="L1255">
        <f t="shared" si="176"/>
        <v>255</v>
      </c>
      <c r="M1255">
        <f t="shared" si="177"/>
        <v>247</v>
      </c>
      <c r="N1255">
        <f t="shared" si="178"/>
        <v>0</v>
      </c>
      <c r="P1255" t="str">
        <f t="shared" si="179"/>
        <v>.YellowSunshine-bg{background-color:#FFF700;}</v>
      </c>
    </row>
    <row r="1256" spans="2:16" ht="15.75">
      <c r="B1256" s="1" t="s">
        <v>2562</v>
      </c>
      <c r="C1256" t="s">
        <v>2563</v>
      </c>
      <c r="D1256">
        <v>0</v>
      </c>
      <c r="E1256">
        <v>2040</v>
      </c>
      <c r="F1256">
        <v>0</v>
      </c>
      <c r="G1256" t="str">
        <f t="shared" si="171"/>
        <v>Zaffre</v>
      </c>
      <c r="H1256" t="str">
        <f t="shared" si="172"/>
        <v>0014A8</v>
      </c>
      <c r="I1256" t="str">
        <f t="shared" si="173"/>
        <v>00</v>
      </c>
      <c r="J1256" t="str">
        <f t="shared" si="174"/>
        <v>14</v>
      </c>
      <c r="K1256" t="str">
        <f t="shared" si="175"/>
        <v>A8</v>
      </c>
      <c r="L1256">
        <f t="shared" si="176"/>
        <v>0</v>
      </c>
      <c r="M1256">
        <f t="shared" si="177"/>
        <v>20</v>
      </c>
      <c r="N1256">
        <f t="shared" si="178"/>
        <v>168</v>
      </c>
      <c r="P1256" t="str">
        <f t="shared" si="179"/>
        <v>.Zaffre-bg{background-color:#0014A8;}</v>
      </c>
    </row>
    <row r="1257" spans="2:16" ht="15.75">
      <c r="B1257" s="1" t="s">
        <v>2564</v>
      </c>
      <c r="C1257" t="s">
        <v>2565</v>
      </c>
      <c r="D1257">
        <v>4335</v>
      </c>
      <c r="E1257">
        <v>2295</v>
      </c>
      <c r="F1257">
        <v>4335</v>
      </c>
      <c r="G1257" t="str">
        <f t="shared" si="171"/>
        <v>ZinnwalditeBrown</v>
      </c>
      <c r="H1257" t="str">
        <f t="shared" si="172"/>
        <v>2C1608</v>
      </c>
      <c r="I1257" t="str">
        <f t="shared" si="173"/>
        <v>2C</v>
      </c>
      <c r="J1257" t="str">
        <f t="shared" si="174"/>
        <v>16</v>
      </c>
      <c r="K1257" t="str">
        <f t="shared" si="175"/>
        <v>08</v>
      </c>
      <c r="L1257">
        <f t="shared" si="176"/>
        <v>44</v>
      </c>
      <c r="M1257">
        <f t="shared" si="177"/>
        <v>22</v>
      </c>
      <c r="N1257">
        <f t="shared" si="178"/>
        <v>8</v>
      </c>
      <c r="P1257" t="str">
        <f t="shared" si="179"/>
        <v>.ZinnwalditeBrown-bg{background-color:#2C1608;}</v>
      </c>
    </row>
    <row r="1258" spans="2:16" ht="15.75">
      <c r="B1258" s="1" t="s">
        <v>2566</v>
      </c>
      <c r="C1258" t="s">
        <v>2567</v>
      </c>
      <c r="D1258">
        <v>5610</v>
      </c>
      <c r="E1258">
        <v>16575</v>
      </c>
      <c r="F1258">
        <v>5610</v>
      </c>
      <c r="G1258" t="str">
        <f t="shared" si="171"/>
        <v>Zomp</v>
      </c>
      <c r="H1258" t="str">
        <f t="shared" si="172"/>
        <v>39A78E</v>
      </c>
      <c r="I1258" t="str">
        <f t="shared" si="173"/>
        <v>39</v>
      </c>
      <c r="J1258" t="str">
        <f t="shared" si="174"/>
        <v>A7</v>
      </c>
      <c r="K1258" t="str">
        <f t="shared" si="175"/>
        <v>8E</v>
      </c>
      <c r="L1258">
        <f t="shared" si="176"/>
        <v>57</v>
      </c>
      <c r="M1258">
        <f t="shared" si="177"/>
        <v>167</v>
      </c>
      <c r="N1258">
        <f t="shared" si="178"/>
        <v>142</v>
      </c>
      <c r="P1258" t="str">
        <f t="shared" si="179"/>
        <v>.Zomp-bg{background-color:#39A78E;}</v>
      </c>
    </row>
  </sheetData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2015-11-16T04:01:40Z</dcterms:modified>
</cp:coreProperties>
</file>